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Levels" sheetId="1" r:id="rId4"/>
    <sheet state="visible" name="LevelData" sheetId="2" r:id="rId5"/>
    <sheet state="visible" name="Level Stack Engine" sheetId="3" r:id="rId6"/>
    <sheet state="visible" name="Full Stack Grid" sheetId="4" r:id="rId7"/>
  </sheets>
  <definedNames/>
  <calcPr/>
  <extLst>
    <ext uri="GoogleSheetsCustomDataVersion2">
      <go:sheetsCustomData xmlns:go="http://customooxmlschemas.google.com/" r:id="rId8" roundtripDataChecksum="u0p2u+ZHkEx8L1KmtXhH8LZrfVpX6cSGz8TV2m31kz4="/>
    </ext>
  </extLst>
</workbook>
</file>

<file path=xl/sharedStrings.xml><?xml version="1.0" encoding="utf-8"?>
<sst xmlns="http://schemas.openxmlformats.org/spreadsheetml/2006/main" count="3347" uniqueCount="380">
  <si>
    <t>Key</t>
  </si>
  <si>
    <t>Skill</t>
  </si>
  <si>
    <t>Core</t>
  </si>
  <si>
    <t>Supp</t>
  </si>
  <si>
    <t>Core VITAL/10</t>
  </si>
  <si>
    <t>Supp VITAL/10</t>
  </si>
  <si>
    <t>Core dep</t>
  </si>
  <si>
    <t>Supp dep</t>
  </si>
  <si>
    <t>Core df</t>
  </si>
  <si>
    <t>Supp df</t>
  </si>
  <si>
    <t>Core V</t>
  </si>
  <si>
    <t>Supp V</t>
  </si>
  <si>
    <t>Core I</t>
  </si>
  <si>
    <t>Supp I</t>
  </si>
  <si>
    <t>Core T</t>
  </si>
  <si>
    <t>Supp T</t>
  </si>
  <si>
    <t>Core A</t>
  </si>
  <si>
    <t>Supp A</t>
  </si>
  <si>
    <t>Core L</t>
  </si>
  <si>
    <t>Supp L</t>
  </si>
  <si>
    <t>Note</t>
  </si>
  <si>
    <t>A0|Vocabulary</t>
  </si>
  <si>
    <t>Vocabulary</t>
  </si>
  <si>
    <t>Learning Upgrade</t>
  </si>
  <si>
    <t>Jolly Phonics</t>
  </si>
  <si>
    <t>8/10</t>
  </si>
  <si>
    <t>2/10</t>
  </si>
  <si>
    <t>Mostly independent</t>
  </si>
  <si>
    <t>Mostly teacher-led</t>
  </si>
  <si>
    <t>Medium</t>
  </si>
  <si>
    <t>Low</t>
  </si>
  <si>
    <t>P</t>
  </si>
  <si>
    <t>N</t>
  </si>
  <si>
    <t>Y</t>
  </si>
  <si>
    <t>Vocabulary at A0: core=Learning Upgrade, supp=Jolly Phonics. A0 Pre-emergent: phonics/pre-literacy only. No production expected. L1 essential. Teacher orchestrates all.</t>
  </si>
  <si>
    <t>A0|Listening</t>
  </si>
  <si>
    <t>Listening</t>
  </si>
  <si>
    <t>Flipgrid</t>
  </si>
  <si>
    <t>Listening at A0: core=Learning Upgrade, supp=Flipgrid. A0 Pre-emergent: phonics/pre-literacy only. No production expected. L1 essential. Teacher orchestrates all.</t>
  </si>
  <si>
    <t>A0|Speaking</t>
  </si>
  <si>
    <t>Speaking</t>
  </si>
  <si>
    <t>Duolingo</t>
  </si>
  <si>
    <t>6/10</t>
  </si>
  <si>
    <t>Fully independent</t>
  </si>
  <si>
    <t>HIGH</t>
  </si>
  <si>
    <t>Speaking at A0: core=Flipgrid, supp=Duolingo. A0 Pre-emergent: phonics/pre-literacy only. No production expected. L1 essential. Teacher orchestrates all.</t>
  </si>
  <si>
    <t>A0|Reading</t>
  </si>
  <si>
    <t>Reading</t>
  </si>
  <si>
    <t>Reading at A0: core=Learning Upgrade, supp=Jolly Phonics. A0 Pre-emergent: phonics/pre-literacy only. No production expected. L1 essential. Teacher orchestrates all.</t>
  </si>
  <si>
    <t>A0|Writing</t>
  </si>
  <si>
    <t>Writing</t>
  </si>
  <si>
    <t>Writing at A0: core=Learning Upgrade, supp=Duolingo. A0 Pre-emergent: phonics/pre-literacy only. No production expected. L1 essential. Teacher orchestrates all.</t>
  </si>
  <si>
    <t>A0|Grammar</t>
  </si>
  <si>
    <t>Grammar</t>
  </si>
  <si>
    <t>Grammar at A0: core=Learning Upgrade, supp=Jolly Phonics. A0 Pre-emergent: phonics/pre-literacy only. No production expected. L1 essential. Teacher orchestrates all.</t>
  </si>
  <si>
    <t>A1−|Vocabulary</t>
  </si>
  <si>
    <t>Off2Class</t>
  </si>
  <si>
    <t>Blended</t>
  </si>
  <si>
    <t>Vocabulary at A1−: core=Learning Upgrade, supp=Off2Class. Minus: heavy scaffolding. A-band: heavy scaffolding required. Sentence frames visible. No tool runs unsupported.</t>
  </si>
  <si>
    <t>A1−|Listening</t>
  </si>
  <si>
    <t>Listening at A1−: core=Learning Upgrade, supp=Off2Class. Minus: heavy scaffolding. A-band: heavy scaffolding required. Sentence frames visible. No tool runs unsupported.</t>
  </si>
  <si>
    <t>A1−|Speaking</t>
  </si>
  <si>
    <t>Elsaspeak</t>
  </si>
  <si>
    <t>Speaking at A1−: core=Elsaspeak, supp=Off2Class. Minus: heavy scaffolding. A-band: heavy scaffolding required. Sentence frames visible. No tool runs unsupported.</t>
  </si>
  <si>
    <t>A1−|Reading</t>
  </si>
  <si>
    <t>Reading at A1−: core=Learning Upgrade, supp=Off2Class. Minus: heavy scaffolding. A-band: heavy scaffolding required. Sentence frames visible. No tool runs unsupported.</t>
  </si>
  <si>
    <t>A1−|Writing</t>
  </si>
  <si>
    <t>Writing at A1−: core=Learning Upgrade, supp=Off2Class. Minus: heavy scaffolding. A-band: heavy scaffolding required. Sentence frames visible. No tool runs unsupported.</t>
  </si>
  <si>
    <t>A1−|Grammar</t>
  </si>
  <si>
    <t>Grammar at A1−: core=Learning Upgrade, supp=Off2Class. Minus: heavy scaffolding. A-band: heavy scaffolding required. Sentence frames visible. No tool runs unsupported.</t>
  </si>
  <si>
    <t>A1|Vocabulary</t>
  </si>
  <si>
    <t>Vocabulary at A1: core=Learning Upgrade, supp=Off2Class. A-band: heavy scaffolding required. Sentence frames visible. No tool runs unsupported.</t>
  </si>
  <si>
    <t>A1|Listening</t>
  </si>
  <si>
    <t>Listening at A1: core=Learning Upgrade, supp=Off2Class. A-band: heavy scaffolding required. Sentence frames visible. No tool runs unsupported.</t>
  </si>
  <si>
    <t>A1|Speaking</t>
  </si>
  <si>
    <t>Speaking at A1: core=Elsaspeak, supp=Off2Class. A-band: heavy scaffolding required. Sentence frames visible. No tool runs unsupported.</t>
  </si>
  <si>
    <t>A1|Reading</t>
  </si>
  <si>
    <t>Reading at A1: core=Learning Upgrade, supp=Off2Class. A-band: heavy scaffolding required. Sentence frames visible. No tool runs unsupported.</t>
  </si>
  <si>
    <t>A1|Writing</t>
  </si>
  <si>
    <t>Writing at A1: core=Learning Upgrade, supp=Off2Class. A-band: heavy scaffolding required. Sentence frames visible. No tool runs unsupported.</t>
  </si>
  <si>
    <t>A1|Grammar</t>
  </si>
  <si>
    <t>Grammar at A1: core=Learning Upgrade, supp=Off2Class. A-band: heavy scaffolding required. Sentence frames visible. No tool runs unsupported.</t>
  </si>
  <si>
    <t>A1+|Vocabulary</t>
  </si>
  <si>
    <t>Vocabulary at A1+: core=Learning Upgrade, supp=Off2Class. Plus: withdraw scaffolds. A-band: heavy scaffolding required. Sentence frames visible. No tool runs unsupported.</t>
  </si>
  <si>
    <t>A1+|Listening</t>
  </si>
  <si>
    <t>Listening at A1+: core=Learning Upgrade, supp=Off2Class. Plus: withdraw scaffolds. A-band: heavy scaffolding required. Sentence frames visible. No tool runs unsupported.</t>
  </si>
  <si>
    <t>A1+|Speaking</t>
  </si>
  <si>
    <t>Speaking at A1+: core=Elsaspeak, supp=Off2Class. Plus: withdraw scaffolds. A-band: heavy scaffolding required. Sentence frames visible. No tool runs unsupported.</t>
  </si>
  <si>
    <t>A1+|Reading</t>
  </si>
  <si>
    <t>Reading at A1+: core=Learning Upgrade, supp=Off2Class. Plus: withdraw scaffolds. A-band: heavy scaffolding required. Sentence frames visible. No tool runs unsupported.</t>
  </si>
  <si>
    <t>A1+|Writing</t>
  </si>
  <si>
    <t>Writing at A1+: core=Learning Upgrade, supp=Off2Class. Plus: withdraw scaffolds. A-band: heavy scaffolding required. Sentence frames visible. No tool runs unsupported.</t>
  </si>
  <si>
    <t>A1+|Grammar</t>
  </si>
  <si>
    <t>Grammar at A1+: core=Learning Upgrade, supp=Off2Class. Plus: withdraw scaffolds. A-band: heavy scaffolding required. Sentence frames visible. No tool runs unsupported.</t>
  </si>
  <si>
    <t>A2−|Vocabulary</t>
  </si>
  <si>
    <t>Vocabulary at A2−: core=Learning Upgrade, supp=Off2Class. Minus: heavy scaffolding. A-band: heavy scaffolding required. Sentence frames visible. No tool runs unsupported.</t>
  </si>
  <si>
    <t>A2−|Listening</t>
  </si>
  <si>
    <t>Listening at A2−: core=Learning Upgrade, supp=Off2Class. Minus: heavy scaffolding. A-band: heavy scaffolding required. Sentence frames visible. No tool runs unsupported.</t>
  </si>
  <si>
    <t>A2−|Speaking</t>
  </si>
  <si>
    <t>Speaking at A2−: core=Elsaspeak, supp=Off2Class. Minus: heavy scaffolding. A-band: heavy scaffolding required. Sentence frames visible. No tool runs unsupported.</t>
  </si>
  <si>
    <t>A2−|Reading</t>
  </si>
  <si>
    <t>Reading at A2−: core=Learning Upgrade, supp=Off2Class. Minus: heavy scaffolding. A-band: heavy scaffolding required. Sentence frames visible. No tool runs unsupported.</t>
  </si>
  <si>
    <t>A2−|Writing</t>
  </si>
  <si>
    <t>Writing at A2−: core=Learning Upgrade, supp=Off2Class. Minus: heavy scaffolding. A-band: heavy scaffolding required. Sentence frames visible. No tool runs unsupported.</t>
  </si>
  <si>
    <t>A2−|Grammar</t>
  </si>
  <si>
    <t>Grammar at A2−: core=Learning Upgrade, supp=Off2Class. Minus: heavy scaffolding. A-band: heavy scaffolding required. Sentence frames visible. No tool runs unsupported.</t>
  </si>
  <si>
    <t>A2|Vocabulary</t>
  </si>
  <si>
    <t>Vocabulary at A2: core=Learning Upgrade, supp=Off2Class. A-band: heavy scaffolding required. Sentence frames visible. No tool runs unsupported.</t>
  </si>
  <si>
    <t>A2|Listening</t>
  </si>
  <si>
    <t>Listening at A2: core=Learning Upgrade, supp=Off2Class. A-band: heavy scaffolding required. Sentence frames visible. No tool runs unsupported.</t>
  </si>
  <si>
    <t>A2|Speaking</t>
  </si>
  <si>
    <t>Speaking at A2: core=Elsaspeak, supp=Off2Class. A-band: heavy scaffolding required. Sentence frames visible. No tool runs unsupported.</t>
  </si>
  <si>
    <t>A2|Reading</t>
  </si>
  <si>
    <t>Reading at A2: core=Learning Upgrade, supp=Off2Class. A-band: heavy scaffolding required. Sentence frames visible. No tool runs unsupported.</t>
  </si>
  <si>
    <t>A2|Writing</t>
  </si>
  <si>
    <t>Writing at A2: core=Learning Upgrade, supp=Off2Class. A-band: heavy scaffolding required. Sentence frames visible. No tool runs unsupported.</t>
  </si>
  <si>
    <t>A2|Grammar</t>
  </si>
  <si>
    <t>Grammar at A2: core=Learning Upgrade, supp=Off2Class. A-band: heavy scaffolding required. Sentence frames visible. No tool runs unsupported.</t>
  </si>
  <si>
    <t>A2+|Vocabulary</t>
  </si>
  <si>
    <t>Vocabulary at A2+: core=Learning Upgrade, supp=Off2Class. Plus: withdraw scaffolds. A-band: heavy scaffolding required. Sentence frames visible. No tool runs unsupported.</t>
  </si>
  <si>
    <t>A2+|Listening</t>
  </si>
  <si>
    <t>Listening at A2+: core=Learning Upgrade, supp=Off2Class. Plus: withdraw scaffolds. A-band: heavy scaffolding required. Sentence frames visible. No tool runs unsupported.</t>
  </si>
  <si>
    <t>A2+|Speaking</t>
  </si>
  <si>
    <t>Speaking at A2+: core=Elsaspeak, supp=Off2Class. Plus: withdraw scaffolds. A-band: heavy scaffolding required. Sentence frames visible. No tool runs unsupported.</t>
  </si>
  <si>
    <t>A2+|Reading</t>
  </si>
  <si>
    <t>Reading at A2+: core=Learning Upgrade, supp=Off2Class. Plus: withdraw scaffolds. A-band: heavy scaffolding required. Sentence frames visible. No tool runs unsupported.</t>
  </si>
  <si>
    <t>A2+|Writing</t>
  </si>
  <si>
    <t>Writing at A2+: core=Learning Upgrade, supp=Off2Class. Plus: withdraw scaffolds. A-band: heavy scaffolding required. Sentence frames visible. No tool runs unsupported.</t>
  </si>
  <si>
    <t>A2+|Grammar</t>
  </si>
  <si>
    <t>Grammar at A2+: core=Learning Upgrade, supp=Off2Class. Plus: withdraw scaffolds. A-band: heavy scaffolding required. Sentence frames visible. No tool runs unsupported.</t>
  </si>
  <si>
    <t>B1−|Vocabulary</t>
  </si>
  <si>
    <t>Vocabulary at B1−: core=Learning Upgrade, supp=Off2Class. Minus: heavy scaffolding. B1-band: inference emerging. Teacher models first. Withdraw scaffolding progressively.</t>
  </si>
  <si>
    <t>B1−|Listening</t>
  </si>
  <si>
    <t>Listening at B1−: core=Learning Upgrade, supp=Off2Class. Minus: heavy scaffolding. B1-band: inference emerging. Teacher models first. Withdraw scaffolding progressively.</t>
  </si>
  <si>
    <t>B1−|Speaking</t>
  </si>
  <si>
    <t>Speaking at B1−: core=Elsaspeak, supp=Off2Class. Minus: heavy scaffolding. B1-band: inference emerging. Teacher models first. Withdraw scaffolding progressively.</t>
  </si>
  <si>
    <t>B1−|Reading</t>
  </si>
  <si>
    <t>Reading at B1−: core=Learning Upgrade, supp=Off2Class. Minus: heavy scaffolding. B1-band: inference emerging. Teacher models first. Withdraw scaffolding progressively.</t>
  </si>
  <si>
    <t>B1−|Writing</t>
  </si>
  <si>
    <t>Writing at B1−: core=Learning Upgrade, supp=Off2Class. Minus: heavy scaffolding. B1-band: inference emerging. Teacher models first. Withdraw scaffolding progressively.</t>
  </si>
  <si>
    <t>B1−|Grammar</t>
  </si>
  <si>
    <t>Grammar at B1−: core=Learning Upgrade, supp=Off2Class. Minus: heavy scaffolding. B1-band: inference emerging. Teacher models first. Withdraw scaffolding progressively.</t>
  </si>
  <si>
    <t>B1|Vocabulary</t>
  </si>
  <si>
    <t>Vocabulary at B1: core=Learning Upgrade, supp=Off2Class. B1-band: inference emerging. Teacher models first. Withdraw scaffolding progressively.</t>
  </si>
  <si>
    <t>B1|Listening</t>
  </si>
  <si>
    <t>Listening at B1: core=Learning Upgrade, supp=Off2Class. B1-band: inference emerging. Teacher models first. Withdraw scaffolding progressively.</t>
  </si>
  <si>
    <t>B1|Speaking</t>
  </si>
  <si>
    <t>Speaking at B1: core=Elsaspeak, supp=Off2Class. B1-band: inference emerging. Teacher models first. Withdraw scaffolding progressively.</t>
  </si>
  <si>
    <t>B1|Reading</t>
  </si>
  <si>
    <t>Reading at B1: core=Learning Upgrade, supp=Off2Class. B1-band: inference emerging. Teacher models first. Withdraw scaffolding progressively.</t>
  </si>
  <si>
    <t>B1|Writing</t>
  </si>
  <si>
    <t>Writing at B1: core=Learning Upgrade, supp=Off2Class. B1-band: inference emerging. Teacher models first. Withdraw scaffolding progressively.</t>
  </si>
  <si>
    <t>B1|Grammar</t>
  </si>
  <si>
    <t>Grammar at B1: core=Learning Upgrade, supp=Off2Class. B1-band: inference emerging. Teacher models first. Withdraw scaffolding progressively.</t>
  </si>
  <si>
    <t>B1+|Vocabulary</t>
  </si>
  <si>
    <t>Vocabulary at B1+: core=Learning Upgrade, supp=Off2Class. Plus: withdraw scaffolds. B1-band: inference emerging. Teacher models first. Withdraw scaffolding progressively.</t>
  </si>
  <si>
    <t>B1+|Listening</t>
  </si>
  <si>
    <t>Listening at B1+: core=Learning Upgrade, supp=Off2Class. Plus: withdraw scaffolds. B1-band: inference emerging. Teacher models first. Withdraw scaffolding progressively.</t>
  </si>
  <si>
    <t>B1+|Speaking</t>
  </si>
  <si>
    <t>Speaking at B1+: core=Elsaspeak, supp=Off2Class. Plus: withdraw scaffolds. B1-band: inference emerging. Teacher models first. Withdraw scaffolding progressively.</t>
  </si>
  <si>
    <t>B1+|Reading</t>
  </si>
  <si>
    <t>Reading at B1+: core=Learning Upgrade, supp=Off2Class. Plus: withdraw scaffolds. B1-band: inference emerging. Teacher models first. Withdraw scaffolding progressively.</t>
  </si>
  <si>
    <t>B1+|Writing</t>
  </si>
  <si>
    <t>Writing at B1+: core=Learning Upgrade, supp=Off2Class. Plus: withdraw scaffolds. B1-band: inference emerging. Teacher models first. Withdraw scaffolding progressively.</t>
  </si>
  <si>
    <t>B1+|Grammar</t>
  </si>
  <si>
    <t>Grammar at B1+: core=Learning Upgrade, supp=Off2Class. Plus: withdraw scaffolds. B1-band: inference emerging. Teacher models first. Withdraw scaffolding progressively.</t>
  </si>
  <si>
    <t>B1.5−|Vocabulary</t>
  </si>
  <si>
    <t>Vocabulary at B1.5−: core=Elsaspeak, supp=Off2Class. Minus: heavy scaffolding. B1.5 non-CEFR school band: bridging B1–B2. Monitor independence carefully.</t>
  </si>
  <si>
    <t>B1.5−|Listening</t>
  </si>
  <si>
    <t>Listening at B1.5−: core=Elsaspeak, supp=Off2Class. Minus: heavy scaffolding. B1.5 non-CEFR school band: bridging B1–B2. Monitor independence carefully.</t>
  </si>
  <si>
    <t>B1.5−|Speaking</t>
  </si>
  <si>
    <t>Speaking at B1.5−: core=Elsaspeak, supp=Off2Class. Minus: heavy scaffolding. B1.5 non-CEFR school band: bridging B1–B2. Monitor independence carefully.</t>
  </si>
  <si>
    <t>B1.5−|Reading</t>
  </si>
  <si>
    <t>Nearpod</t>
  </si>
  <si>
    <t>Fully teacher-led</t>
  </si>
  <si>
    <t>Reading at B1.5−: core=Nearpod, supp=Off2Class. Minus: heavy scaffolding. B1.5 non-CEFR school band: bridging B1–B2. Monitor independence carefully.</t>
  </si>
  <si>
    <t>B1.5−|Writing</t>
  </si>
  <si>
    <t>Write &amp; Improve</t>
  </si>
  <si>
    <t>Writing at B1.5−: core=Write &amp; Improve, supp=Off2Class. Minus: heavy scaffolding. B1.5 non-CEFR school band: bridging B1–B2. Monitor independence carefully.</t>
  </si>
  <si>
    <t>B1.5−|Grammar</t>
  </si>
  <si>
    <t>Grammar at B1.5−: core=Elsaspeak, supp=Off2Class. Minus: heavy scaffolding. B1.5 non-CEFR school band: bridging B1–B2. Monitor independence carefully.</t>
  </si>
  <si>
    <t>B1.5|Vocabulary</t>
  </si>
  <si>
    <t>Vocabulary at B1.5: core=Elsaspeak, supp=Off2Class. B1.5 non-CEFR school band: bridging B1–B2. Monitor independence carefully.</t>
  </si>
  <si>
    <t>B1.5|Listening</t>
  </si>
  <si>
    <t>Listening at B1.5: core=Elsaspeak, supp=Off2Class. B1.5 non-CEFR school band: bridging B1–B2. Monitor independence carefully.</t>
  </si>
  <si>
    <t>B1.5|Speaking</t>
  </si>
  <si>
    <t>Speaking at B1.5: core=Elsaspeak, supp=Off2Class. B1.5 non-CEFR school band: bridging B1–B2. Monitor independence carefully.</t>
  </si>
  <si>
    <t>B1.5|Reading</t>
  </si>
  <si>
    <t>Reading at B1.5: core=Nearpod, supp=Off2Class. B1.5 non-CEFR school band: bridging B1–B2. Monitor independence carefully.</t>
  </si>
  <si>
    <t>B1.5|Writing</t>
  </si>
  <si>
    <t>Writing at B1.5: core=Write &amp; Improve, supp=Off2Class. B1.5 non-CEFR school band: bridging B1–B2. Monitor independence carefully.</t>
  </si>
  <si>
    <t>B1.5|Grammar</t>
  </si>
  <si>
    <t>Grammar at B1.5: core=Elsaspeak, supp=Off2Class. B1.5 non-CEFR school band: bridging B1–B2. Monitor independence carefully.</t>
  </si>
  <si>
    <t>B1.5+|Vocabulary</t>
  </si>
  <si>
    <t>Vocabulary at B1.5+: core=Elsaspeak, supp=Off2Class. Plus: withdraw scaffolds. B1.5 non-CEFR school band: bridging B1–B2. Monitor independence carefully.</t>
  </si>
  <si>
    <t>B1.5+|Listening</t>
  </si>
  <si>
    <t>Listening at B1.5+: core=Elsaspeak, supp=Off2Class. Plus: withdraw scaffolds. B1.5 non-CEFR school band: bridging B1–B2. Monitor independence carefully.</t>
  </si>
  <si>
    <t>B1.5+|Speaking</t>
  </si>
  <si>
    <t>Speaking at B1.5+: core=Elsaspeak, supp=Off2Class. Plus: withdraw scaffolds. B1.5 non-CEFR school band: bridging B1–B2. Monitor independence carefully.</t>
  </si>
  <si>
    <t>B1.5+|Reading</t>
  </si>
  <si>
    <t>Reading at B1.5+: core=Nearpod, supp=Off2Class. Plus: withdraw scaffolds. B1.5 non-CEFR school band: bridging B1–B2. Monitor independence carefully.</t>
  </si>
  <si>
    <t>B1.5+|Writing</t>
  </si>
  <si>
    <t>Writing at B1.5+: core=Write &amp; Improve, supp=Off2Class. Plus: withdraw scaffolds. B1.5 non-CEFR school band: bridging B1–B2. Monitor independence carefully.</t>
  </si>
  <si>
    <t>B1.5+|Grammar</t>
  </si>
  <si>
    <t>Grammar at B1.5+: core=Elsaspeak, supp=Off2Class. Plus: withdraw scaffolds. B1.5 non-CEFR school band: bridging B1–B2. Monitor independence carefully.</t>
  </si>
  <si>
    <t>B2−|Vocabulary</t>
  </si>
  <si>
    <t>Vocabulary at B2−: core=Elsaspeak, supp=Off2Class. Minus: heavy scaffolding. B2-band: analytical mode. Challenge without scaffolding.</t>
  </si>
  <si>
    <t>B2−|Listening</t>
  </si>
  <si>
    <t>Listening at B2−: core=Elsaspeak, supp=Off2Class. Minus: heavy scaffolding. B2-band: analytical mode. Challenge without scaffolding.</t>
  </si>
  <si>
    <t>B2−|Speaking</t>
  </si>
  <si>
    <t>Speaking at B2−: core=Elsaspeak, supp=Off2Class. Minus: heavy scaffolding. B2-band: analytical mode. Challenge without scaffolding.</t>
  </si>
  <si>
    <t>B2−|Reading</t>
  </si>
  <si>
    <t>Reading at B2−: core=Nearpod, supp=Off2Class. Minus: heavy scaffolding. B2-band: analytical mode. Challenge without scaffolding.</t>
  </si>
  <si>
    <t>B2−|Writing</t>
  </si>
  <si>
    <t>Writing at B2−: core=Write &amp; Improve, supp=Off2Class. Minus: heavy scaffolding. B2-band: analytical mode. Challenge without scaffolding.</t>
  </si>
  <si>
    <t>B2−|Grammar</t>
  </si>
  <si>
    <t>Grammar at B2−: core=Elsaspeak, supp=Off2Class. Minus: heavy scaffolding. B2-band: analytical mode. Challenge without scaffolding.</t>
  </si>
  <si>
    <t>B2|Vocabulary</t>
  </si>
  <si>
    <t>Vocabulary at B2: core=Elsaspeak, supp=Off2Class. B2-band: analytical mode. Challenge without scaffolding.</t>
  </si>
  <si>
    <t>B2|Listening</t>
  </si>
  <si>
    <t>Listening at B2: core=Elsaspeak, supp=Off2Class. B2-band: analytical mode. Challenge without scaffolding.</t>
  </si>
  <si>
    <t>B2|Speaking</t>
  </si>
  <si>
    <t>Speaking at B2: core=Elsaspeak, supp=Off2Class. B2-band: analytical mode. Challenge without scaffolding.</t>
  </si>
  <si>
    <t>B2|Reading</t>
  </si>
  <si>
    <t>Reading at B2: core=Nearpod, supp=Off2Class. B2-band: analytical mode. Challenge without scaffolding.</t>
  </si>
  <si>
    <t>B2|Writing</t>
  </si>
  <si>
    <t>Writing at B2: core=Write &amp; Improve, supp=Off2Class. B2-band: analytical mode. Challenge without scaffolding.</t>
  </si>
  <si>
    <t>B2|Grammar</t>
  </si>
  <si>
    <t>Grammar at B2: core=Elsaspeak, supp=Off2Class. B2-band: analytical mode. Challenge without scaffolding.</t>
  </si>
  <si>
    <t>B2+|Vocabulary</t>
  </si>
  <si>
    <t>Vocabulary at B2+: core=Elsaspeak, supp=Off2Class. Plus: withdraw scaffolds. B2-band: analytical mode. Challenge without scaffolding.</t>
  </si>
  <si>
    <t>B2+|Listening</t>
  </si>
  <si>
    <t>Listening at B2+: core=Elsaspeak, supp=Off2Class. Plus: withdraw scaffolds. B2-band: analytical mode. Challenge without scaffolding.</t>
  </si>
  <si>
    <t>B2+|Speaking</t>
  </si>
  <si>
    <t>Speaking at B2+: core=Elsaspeak, supp=Off2Class. Plus: withdraw scaffolds. B2-band: analytical mode. Challenge without scaffolding.</t>
  </si>
  <si>
    <t>B2+|Reading</t>
  </si>
  <si>
    <t>Reading at B2+: core=Nearpod, supp=Off2Class. Plus: withdraw scaffolds. B2-band: analytical mode. Challenge without scaffolding.</t>
  </si>
  <si>
    <t>B2+|Writing</t>
  </si>
  <si>
    <t>Writing at B2+: core=Write &amp; Improve, supp=Off2Class. Plus: withdraw scaffolds. B2-band: analytical mode. Challenge without scaffolding.</t>
  </si>
  <si>
    <t>B2+|Grammar</t>
  </si>
  <si>
    <t>Grammar at B2+: core=Elsaspeak, supp=Off2Class. Plus: withdraw scaffolds. B2-band: analytical mode. Challenge without scaffolding.</t>
  </si>
  <si>
    <t>B2.5−|Vocabulary</t>
  </si>
  <si>
    <t>Vocabulary at B2.5−: core=Nearpod, supp=Off2Class. Minus: heavy scaffolding. B2.5 non-CEFR school band: near C1. Corpus tools and annotation appropriate.</t>
  </si>
  <si>
    <t>B2.5−|Listening</t>
  </si>
  <si>
    <t>Listening at B2.5−: core=Nearpod, supp=Off2Class. Minus: heavy scaffolding. B2.5 non-CEFR school band: near C1. Corpus tools and annotation appropriate.</t>
  </si>
  <si>
    <t>B2.5−|Speaking</t>
  </si>
  <si>
    <t>Speaking at B2.5−: core=Nearpod, supp=Off2Class. Minus: heavy scaffolding. B2.5 non-CEFR school band: near C1. Corpus tools and annotation appropriate.</t>
  </si>
  <si>
    <t>B2.5−|Reading</t>
  </si>
  <si>
    <t>Reading at B2.5−: core=Nearpod, supp=Off2Class. Minus: heavy scaffolding. B2.5 non-CEFR school band: near C1. Corpus tools and annotation appropriate.</t>
  </si>
  <si>
    <t>B2.5−|Writing</t>
  </si>
  <si>
    <t>Writing at B2.5−: core=Write &amp; Improve, supp=Off2Class. Minus: heavy scaffolding. B2.5 non-CEFR school band: near C1. Corpus tools and annotation appropriate.</t>
  </si>
  <si>
    <t>B2.5−|Grammar</t>
  </si>
  <si>
    <t>Grammar at B2.5−: core=Nearpod, supp=Off2Class. Minus: heavy scaffolding. B2.5 non-CEFR school band: near C1. Corpus tools and annotation appropriate.</t>
  </si>
  <si>
    <t>B2.5|Vocabulary</t>
  </si>
  <si>
    <t>Vocabulary at B2.5: core=Nearpod, supp=Off2Class. B2.5 non-CEFR school band: near C1. Corpus tools and annotation appropriate.</t>
  </si>
  <si>
    <t>B2.5|Listening</t>
  </si>
  <si>
    <t>Listening at B2.5: core=Nearpod, supp=Off2Class. B2.5 non-CEFR school band: near C1. Corpus tools and annotation appropriate.</t>
  </si>
  <si>
    <t>B2.5|Speaking</t>
  </si>
  <si>
    <t>Speaking at B2.5: core=Nearpod, supp=Off2Class. B2.5 non-CEFR school band: near C1. Corpus tools and annotation appropriate.</t>
  </si>
  <si>
    <t>B2.5|Reading</t>
  </si>
  <si>
    <t>Reading at B2.5: core=Nearpod, supp=Off2Class. B2.5 non-CEFR school band: near C1. Corpus tools and annotation appropriate.</t>
  </si>
  <si>
    <t>B2.5|Writing</t>
  </si>
  <si>
    <t>Writing at B2.5: core=Write &amp; Improve, supp=Off2Class. B2.5 non-CEFR school band: near C1. Corpus tools and annotation appropriate.</t>
  </si>
  <si>
    <t>B2.5|Grammar</t>
  </si>
  <si>
    <t>Grammar at B2.5: core=Nearpod, supp=Off2Class. B2.5 non-CEFR school band: near C1. Corpus tools and annotation appropriate.</t>
  </si>
  <si>
    <t>B2.5+|Vocabulary</t>
  </si>
  <si>
    <t>Vocabulary at B2.5+: core=Nearpod, supp=Off2Class. Plus: withdraw scaffolds. B2.5 non-CEFR school band: near C1. Corpus tools and annotation appropriate.</t>
  </si>
  <si>
    <t>B2.5+|Listening</t>
  </si>
  <si>
    <t>Listening at B2.5+: core=Nearpod, supp=Off2Class. Plus: withdraw scaffolds. B2.5 non-CEFR school band: near C1. Corpus tools and annotation appropriate.</t>
  </si>
  <si>
    <t>B2.5+|Speaking</t>
  </si>
  <si>
    <t>Speaking at B2.5+: core=Nearpod, supp=Off2Class. Plus: withdraw scaffolds. B2.5 non-CEFR school band: near C1. Corpus tools and annotation appropriate.</t>
  </si>
  <si>
    <t>B2.5+|Reading</t>
  </si>
  <si>
    <t>Reading at B2.5+: core=Nearpod, supp=Off2Class. Plus: withdraw scaffolds. B2.5 non-CEFR school band: near C1. Corpus tools and annotation appropriate.</t>
  </si>
  <si>
    <t>B2.5+|Writing</t>
  </si>
  <si>
    <t>Writing at B2.5+: core=Write &amp; Improve, supp=Off2Class. Plus: withdraw scaffolds. B2.5 non-CEFR school band: near C1. Corpus tools and annotation appropriate.</t>
  </si>
  <si>
    <t>B2.5+|Grammar</t>
  </si>
  <si>
    <t>Grammar at B2.5+: core=Nearpod, supp=Off2Class. Plus: withdraw scaffolds. B2.5 non-CEFR school band: near C1. Corpus tools and annotation appropriate.</t>
  </si>
  <si>
    <t>C1−|Vocabulary</t>
  </si>
  <si>
    <t>Vocabulary at C1−: core=Nearpod, supp=Off2Class. Minus: heavy scaffolding. C1-band: metalinguistic reflection. Teacher as coach only.</t>
  </si>
  <si>
    <t>C1−|Listening</t>
  </si>
  <si>
    <t>Listening at C1−: core=Nearpod, supp=Off2Class. Minus: heavy scaffolding. C1-band: metalinguistic reflection. Teacher as coach only.</t>
  </si>
  <si>
    <t>C1−|Speaking</t>
  </si>
  <si>
    <t>Speaking at C1−: core=Nearpod, supp=Off2Class. Minus: heavy scaffolding. C1-band: metalinguistic reflection. Teacher as coach only.</t>
  </si>
  <si>
    <t>C1−|Reading</t>
  </si>
  <si>
    <t>Reading at C1−: core=Nearpod, supp=Off2Class. Minus: heavy scaffolding. C1-band: metalinguistic reflection. Teacher as coach only.</t>
  </si>
  <si>
    <t>C1−|Writing</t>
  </si>
  <si>
    <t>Writing at C1−: core=Write &amp; Improve, supp=Off2Class. Minus: heavy scaffolding. C1-band: metalinguistic reflection. Teacher as coach only.</t>
  </si>
  <si>
    <t>C1−|Grammar</t>
  </si>
  <si>
    <t>Grammar at C1−: core=Nearpod, supp=Off2Class. Minus: heavy scaffolding. C1-band: metalinguistic reflection. Teacher as coach only.</t>
  </si>
  <si>
    <t>C1|Vocabulary</t>
  </si>
  <si>
    <t>Vocabulary at C1: core=Nearpod, supp=Off2Class. C1-band: metalinguistic reflection. Teacher as coach only.</t>
  </si>
  <si>
    <t>C1|Listening</t>
  </si>
  <si>
    <t>Listening at C1: core=Nearpod, supp=Off2Class. C1-band: metalinguistic reflection. Teacher as coach only.</t>
  </si>
  <si>
    <t>C1|Speaking</t>
  </si>
  <si>
    <t>Speaking at C1: core=Nearpod, supp=Off2Class. C1-band: metalinguistic reflection. Teacher as coach only.</t>
  </si>
  <si>
    <t>C1|Reading</t>
  </si>
  <si>
    <t>Reading at C1: core=Nearpod, supp=Off2Class. C1-band: metalinguistic reflection. Teacher as coach only.</t>
  </si>
  <si>
    <t>C1|Writing</t>
  </si>
  <si>
    <t>Writing at C1: core=Write &amp; Improve, supp=Off2Class. C1-band: metalinguistic reflection. Teacher as coach only.</t>
  </si>
  <si>
    <t>C1|Grammar</t>
  </si>
  <si>
    <t>Grammar at C1: core=Nearpod, supp=Off2Class. C1-band: metalinguistic reflection. Teacher as coach only.</t>
  </si>
  <si>
    <t>C1+|Vocabulary</t>
  </si>
  <si>
    <t>Vocabulary at C1+: core=Nearpod, supp=Off2Class. Plus: withdraw scaffolds. C1-band: metalinguistic reflection. Teacher as coach only.</t>
  </si>
  <si>
    <t>C1+|Listening</t>
  </si>
  <si>
    <t>Listening at C1+: core=Nearpod, supp=Off2Class. Plus: withdraw scaffolds. C1-band: metalinguistic reflection. Teacher as coach only.</t>
  </si>
  <si>
    <t>C1+|Speaking</t>
  </si>
  <si>
    <t>Speaking at C1+: core=Nearpod, supp=Off2Class. Plus: withdraw scaffolds. C1-band: metalinguistic reflection. Teacher as coach only.</t>
  </si>
  <si>
    <t>C1+|Reading</t>
  </si>
  <si>
    <t>Reading at C1+: core=Nearpod, supp=Off2Class. Plus: withdraw scaffolds. C1-band: metalinguistic reflection. Teacher as coach only.</t>
  </si>
  <si>
    <t>C1+|Writing</t>
  </si>
  <si>
    <t>Writing at C1+: core=Write &amp; Improve, supp=Off2Class. Plus: withdraw scaffolds. C1-band: metalinguistic reflection. Teacher as coach only.</t>
  </si>
  <si>
    <t>C1+|Grammar</t>
  </si>
  <si>
    <t>Grammar at C1+: core=Nearpod, supp=Off2Class. Plus: withdraw scaffolds. C1-band: metalinguistic reflection. Teacher as coach only.</t>
  </si>
  <si>
    <t>Level</t>
  </si>
  <si>
    <t>Score band</t>
  </si>
  <si>
    <t>CEFR status</t>
  </si>
  <si>
    <t>A0</t>
  </si>
  <si>
    <t>Pre-emergent</t>
  </si>
  <si>
    <t>Non-CEFR (school-defined)</t>
  </si>
  <si>
    <t>A1−</t>
  </si>
  <si>
    <t>Up to 33%</t>
  </si>
  <si>
    <t>Standard CEFR</t>
  </si>
  <si>
    <t>A1</t>
  </si>
  <si>
    <t>34%–66%</t>
  </si>
  <si>
    <t>A1+</t>
  </si>
  <si>
    <t>67%–100%</t>
  </si>
  <si>
    <t>A2−</t>
  </si>
  <si>
    <t>A2</t>
  </si>
  <si>
    <t>A2+</t>
  </si>
  <si>
    <t>B1−</t>
  </si>
  <si>
    <t>B1</t>
  </si>
  <si>
    <t>B1+</t>
  </si>
  <si>
    <t>B1.5−</t>
  </si>
  <si>
    <t>B1.5</t>
  </si>
  <si>
    <t>B1.5+</t>
  </si>
  <si>
    <t>B2−</t>
  </si>
  <si>
    <t>B2</t>
  </si>
  <si>
    <t>B2+</t>
  </si>
  <si>
    <t>B2.5−</t>
  </si>
  <si>
    <t>B2.5</t>
  </si>
  <si>
    <t>B2.5+</t>
  </si>
  <si>
    <t>C1−</t>
  </si>
  <si>
    <t>C1</t>
  </si>
  <si>
    <t>C1+</t>
  </si>
  <si>
    <t>VITAL Level Stack Engine — Select one CEFR sub-level → full recommended stack for all 6 skills</t>
  </si>
  <si>
    <t>28 tools · 22-point scale (A0 + 21) · One dropdown updates all 6 skill rows simultaneously</t>
  </si>
  <si>
    <t>V = Visible learning</t>
  </si>
  <si>
    <t>I = Inclusive pedagogy</t>
  </si>
  <si>
    <t>T = Right technology</t>
  </si>
  <si>
    <t>A = Assessment for learning</t>
  </si>
  <si>
    <t>L = Learner agency</t>
  </si>
  <si>
    <t>28 tools from uploaded workbook</t>
  </si>
  <si>
    <t>Select CEFR sub-level:</t>
  </si>
  <si>
    <t>Score band:</t>
  </si>
  <si>
    <t>CEFR status:</t>
  </si>
  <si>
    <t>CORE TOOL</t>
  </si>
  <si>
    <t>SUPPLEMENTARY TOOL</t>
  </si>
  <si>
    <t>VITAL PILLAR COVERAGE</t>
  </si>
  <si>
    <t>Status</t>
  </si>
  <si>
    <t>Teacher design required</t>
  </si>
  <si>
    <t>Tool name</t>
  </si>
  <si>
    <t>VITAL /10</t>
  </si>
  <si>
    <t>Dependency</t>
  </si>
  <si>
    <t>Risk</t>
  </si>
  <si>
    <t>V</t>
  </si>
  <si>
    <t>I</t>
  </si>
  <si>
    <t>T</t>
  </si>
  <si>
    <t>A</t>
  </si>
  <si>
    <t>L</t>
  </si>
  <si>
    <t>VITAL coverage across all 6 skills at this level:</t>
  </si>
  <si>
    <t>Cross-skill pillar summary:</t>
  </si>
  <si>
    <t>Full Stack Grid — All 6 Skills × 22 Sub-levels · Core Tool per Cell · 28 Tools</t>
  </si>
  <si>
    <t>Bold = Core · (italic) = Supplementary · ✅ all pillars · ⚠ 1 gap · ⛔ 2+ gaps · Purple = non-CEFR bands · Grey = A0</t>
  </si>
  <si>
    <t>Row</t>
  </si>
  <si>
    <t>(Jolly Phonics)</t>
  </si>
  <si>
    <t>(Off2Class)</t>
  </si>
  <si>
    <t>VITAL</t>
  </si>
  <si>
    <t>✅</t>
  </si>
  <si>
    <t>(Flipgrid)</t>
  </si>
  <si>
    <t>(Duolingo)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</si>
</sst>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b/>
      <sz val="8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sz val="9.0"/>
      <color rgb="FF4A148C"/>
      <name val="Arial"/>
    </font>
    <font>
      <sz val="9.0"/>
      <color rgb="FF173404"/>
      <name val="Arial"/>
    </font>
    <font>
      <b/>
      <sz val="15.0"/>
      <color rgb="FFFFFFFF"/>
      <name val="Arial"/>
    </font>
    <font/>
    <font>
      <i/>
      <sz val="9.0"/>
      <color rgb="FF27500A"/>
      <name val="Arial"/>
    </font>
    <font>
      <b/>
      <sz val="8.0"/>
      <color rgb="FF27500A"/>
      <name val="Arial"/>
    </font>
    <font>
      <b/>
      <sz val="8.0"/>
      <color rgb="FF0F6E56"/>
      <name val="Arial"/>
    </font>
    <font>
      <b/>
      <sz val="8.0"/>
      <color rgb="FF185FA5"/>
      <name val="Arial"/>
    </font>
    <font>
      <b/>
      <sz val="8.0"/>
      <color rgb="FF993C1D"/>
      <name val="Arial"/>
    </font>
    <font>
      <b/>
      <sz val="8.0"/>
      <color rgb="FF993556"/>
      <name val="Arial"/>
    </font>
    <font>
      <b/>
      <sz val="8.0"/>
      <color rgb="FF444441"/>
      <name val="Arial"/>
    </font>
    <font>
      <b/>
      <sz val="11.0"/>
      <color rgb="FF173404"/>
      <name val="Arial"/>
    </font>
    <font>
      <b/>
      <sz val="14.0"/>
      <color rgb="FF27500A"/>
      <name val="Arial"/>
    </font>
    <font>
      <i/>
      <sz val="9.0"/>
      <color rgb="FF444441"/>
      <name val="Arial"/>
    </font>
    <font>
      <b/>
      <sz val="10.0"/>
      <color rgb="FF27500A"/>
      <name val="Arial"/>
    </font>
    <font>
      <b/>
      <sz val="10.0"/>
      <color rgb="FFFFFFFF"/>
      <name val="Arial"/>
    </font>
    <font>
      <b/>
      <sz val="10.0"/>
      <color rgb="FF173404"/>
      <name val="Arial"/>
    </font>
    <font>
      <sz val="9.0"/>
      <color rgb="FF0D1F07"/>
      <name val="Arial"/>
    </font>
    <font>
      <sz val="8.0"/>
      <color rgb="FF0D1F07"/>
      <name val="Arial"/>
    </font>
    <font>
      <b/>
      <sz val="8.0"/>
      <color rgb="FF0D1F07"/>
      <name val="Arial"/>
    </font>
    <font>
      <i/>
      <sz val="9.0"/>
      <color rgb="FF173404"/>
      <name val="Arial"/>
    </font>
    <font>
      <sz val="9.0"/>
      <color rgb="FF444441"/>
      <name val="Arial"/>
    </font>
    <font>
      <b/>
      <sz val="10.0"/>
      <color rgb="FF0D1F07"/>
      <name val="Arial"/>
    </font>
    <font>
      <b/>
      <sz val="9.0"/>
      <color rgb="FF0D1F07"/>
      <name val="Arial"/>
    </font>
    <font>
      <sz val="8.0"/>
      <color rgb="FF633806"/>
      <name val="Arial"/>
    </font>
    <font>
      <b/>
      <sz val="9.0"/>
      <color rgb="FF444441"/>
      <name val="Arial"/>
    </font>
    <font>
      <b/>
      <sz val="13.0"/>
      <color rgb="FFFFFFFF"/>
      <name val="Arial"/>
    </font>
    <font>
      <i/>
      <sz val="8.0"/>
      <color rgb="FF27500A"/>
      <name val="Arial"/>
    </font>
    <font>
      <b/>
      <sz val="8.0"/>
      <color rgb="FF173404"/>
      <name val="Arial"/>
    </font>
    <font>
      <i/>
      <sz val="8.0"/>
      <color rgb="FF444441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173404"/>
        <bgColor rgb="FF173404"/>
      </patternFill>
    </fill>
    <fill>
      <patternFill patternType="solid">
        <fgColor rgb="FFEAF3DE"/>
        <bgColor rgb="FFEAF3DE"/>
      </patternFill>
    </fill>
    <fill>
      <patternFill patternType="solid">
        <fgColor rgb="FFFFFFFF"/>
        <bgColor rgb="FFFFFFFF"/>
      </patternFill>
    </fill>
    <fill>
      <patternFill patternType="solid">
        <fgColor rgb="FFFAF0FD"/>
        <bgColor rgb="FFFAF0FD"/>
      </patternFill>
    </fill>
    <fill>
      <patternFill patternType="solid">
        <fgColor rgb="FF27500A"/>
        <bgColor rgb="FF27500A"/>
      </patternFill>
    </fill>
    <fill>
      <patternFill patternType="solid">
        <fgColor rgb="FFE1F5EE"/>
        <bgColor rgb="FFE1F5EE"/>
      </patternFill>
    </fill>
    <fill>
      <patternFill patternType="solid">
        <fgColor rgb="FFE6F1FB"/>
        <bgColor rgb="FFE6F1FB"/>
      </patternFill>
    </fill>
    <fill>
      <patternFill patternType="solid">
        <fgColor rgb="FFFAECE7"/>
        <bgColor rgb="FFFAECE7"/>
      </patternFill>
    </fill>
    <fill>
      <patternFill patternType="solid">
        <fgColor rgb="FFFBEAF0"/>
        <bgColor rgb="FFFBEAF0"/>
      </patternFill>
    </fill>
    <fill>
      <patternFill patternType="solid">
        <fgColor rgb="FFF1EFE8"/>
        <bgColor rgb="FFF1EFE8"/>
      </patternFill>
    </fill>
    <fill>
      <patternFill patternType="solid">
        <fgColor rgb="FFFFFDE7"/>
        <bgColor rgb="FFFFFDE7"/>
      </patternFill>
    </fill>
    <fill>
      <patternFill patternType="solid">
        <fgColor rgb="FF444441"/>
        <bgColor rgb="FF444441"/>
      </patternFill>
    </fill>
    <fill>
      <patternFill patternType="solid">
        <fgColor rgb="FF3B6D11"/>
        <bgColor rgb="FF3B6D11"/>
      </patternFill>
    </fill>
    <fill>
      <patternFill patternType="solid">
        <fgColor rgb="FF72243E"/>
        <bgColor rgb="FF72243E"/>
      </patternFill>
    </fill>
    <fill>
      <patternFill patternType="solid">
        <fgColor rgb="FF633806"/>
        <bgColor rgb="FF633806"/>
      </patternFill>
    </fill>
    <fill>
      <patternFill patternType="solid">
        <fgColor rgb="FF0F6E56"/>
        <bgColor rgb="FF0F6E56"/>
      </patternFill>
    </fill>
    <fill>
      <patternFill patternType="solid">
        <fgColor rgb="FF185FA5"/>
        <bgColor rgb="FF185FA5"/>
      </patternFill>
    </fill>
    <fill>
      <patternFill patternType="solid">
        <fgColor rgb="FF993C1D"/>
        <bgColor rgb="FF993C1D"/>
      </patternFill>
    </fill>
    <fill>
      <patternFill patternType="solid">
        <fgColor rgb="FF993556"/>
        <bgColor rgb="FF993556"/>
      </patternFill>
    </fill>
    <fill>
      <patternFill patternType="solid">
        <fgColor rgb="FFFAEEDA"/>
        <bgColor rgb="FFFAEEDA"/>
      </patternFill>
    </fill>
    <fill>
      <patternFill patternType="solid">
        <fgColor rgb="FF085041"/>
        <bgColor rgb="FF085041"/>
      </patternFill>
    </fill>
    <fill>
      <patternFill patternType="solid">
        <fgColor rgb="FF0C447C"/>
        <bgColor rgb="FF0C447C"/>
      </patternFill>
    </fill>
    <fill>
      <patternFill patternType="solid">
        <fgColor rgb="FF854F0B"/>
        <bgColor rgb="FF854F0B"/>
      </patternFill>
    </fill>
    <fill>
      <patternFill patternType="solid">
        <fgColor rgb="FF7B1FA2"/>
        <bgColor rgb="FF7B1FA2"/>
      </patternFill>
    </fill>
    <fill>
      <patternFill patternType="solid">
        <fgColor rgb="FFF8F8F8"/>
        <bgColor rgb="FFF8F8F8"/>
      </patternFill>
    </fill>
  </fills>
  <borders count="1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medium">
        <color rgb="FF854F0B"/>
      </left>
      <top style="medium">
        <color rgb="FF854F0B"/>
      </top>
      <bottom style="medium">
        <color rgb="FF854F0B"/>
      </bottom>
    </border>
    <border>
      <right style="medium">
        <color rgb="FF854F0B"/>
      </right>
      <top style="medium">
        <color rgb="FF854F0B"/>
      </top>
      <bottom style="medium">
        <color rgb="FF854F0B"/>
      </bottom>
    </border>
    <border>
      <left style="medium">
        <color rgb="FF27500A"/>
      </left>
      <right style="medium">
        <color rgb="FF27500A"/>
      </right>
      <top style="medium">
        <color rgb="FF27500A"/>
      </top>
      <bottom style="medium">
        <color rgb="FF27500A"/>
      </bottom>
    </border>
    <border>
      <left style="medium">
        <color rgb="FF3B6D11"/>
      </left>
      <right style="medium">
        <color rgb="FF3B6D11"/>
      </right>
      <top style="medium">
        <color rgb="FF3B6D11"/>
      </top>
      <bottom style="medium">
        <color rgb="FF3B6D11"/>
      </bottom>
    </border>
    <border>
      <left style="medium">
        <color rgb="FF27500A"/>
      </left>
      <top style="medium">
        <color rgb="FF27500A"/>
      </top>
      <bottom style="medium">
        <color rgb="FF27500A"/>
      </bottom>
    </border>
    <border>
      <top style="medium">
        <color rgb="FF27500A"/>
      </top>
      <bottom style="medium">
        <color rgb="FF27500A"/>
      </bottom>
    </border>
    <border>
      <right style="medium">
        <color rgb="FF27500A"/>
      </right>
      <top style="medium">
        <color rgb="FF27500A"/>
      </top>
      <bottom style="medium">
        <color rgb="FF27500A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2" fillId="6" fontId="6" numFmtId="0" xfId="0" applyAlignment="1" applyBorder="1" applyFill="1" applyFont="1">
      <alignment horizontal="left" vertical="center"/>
    </xf>
    <xf borderId="3" fillId="0" fontId="7" numFmtId="0" xfId="0" applyBorder="1" applyFont="1"/>
    <xf borderId="4" fillId="0" fontId="7" numFmtId="0" xfId="0" applyBorder="1" applyFont="1"/>
    <xf borderId="2" fillId="3" fontId="8" numFmtId="0" xfId="0" applyAlignment="1" applyBorder="1" applyFont="1">
      <alignment horizontal="left" vertical="center"/>
    </xf>
    <xf borderId="5" fillId="3" fontId="9" numFmtId="0" xfId="0" applyAlignment="1" applyBorder="1" applyFont="1">
      <alignment horizontal="center" vertical="center"/>
    </xf>
    <xf borderId="6" fillId="0" fontId="7" numFmtId="0" xfId="0" applyBorder="1" applyFont="1"/>
    <xf borderId="5" fillId="7" fontId="10" numFmtId="0" xfId="0" applyAlignment="1" applyBorder="1" applyFill="1" applyFont="1">
      <alignment horizontal="center" vertical="center"/>
    </xf>
    <xf borderId="5" fillId="8" fontId="11" numFmtId="0" xfId="0" applyAlignment="1" applyBorder="1" applyFill="1" applyFont="1">
      <alignment horizontal="center" vertical="center"/>
    </xf>
    <xf borderId="7" fillId="0" fontId="7" numFmtId="0" xfId="0" applyBorder="1" applyFont="1"/>
    <xf borderId="5" fillId="9" fontId="12" numFmtId="0" xfId="0" applyAlignment="1" applyBorder="1" applyFill="1" applyFont="1">
      <alignment horizontal="center" vertical="center"/>
    </xf>
    <xf borderId="5" fillId="10" fontId="13" numFmtId="0" xfId="0" applyAlignment="1" applyBorder="1" applyFill="1" applyFont="1">
      <alignment horizontal="center" vertical="center"/>
    </xf>
    <xf borderId="5" fillId="11" fontId="14" numFmtId="0" xfId="0" applyAlignment="1" applyBorder="1" applyFill="1" applyFont="1">
      <alignment horizontal="center" vertical="center"/>
    </xf>
    <xf borderId="1" fillId="3" fontId="15" numFmtId="0" xfId="0" applyAlignment="1" applyBorder="1" applyFont="1">
      <alignment horizontal="left" vertical="center"/>
    </xf>
    <xf borderId="8" fillId="12" fontId="16" numFmtId="0" xfId="0" applyAlignment="1" applyBorder="1" applyFill="1" applyFont="1">
      <alignment horizontal="center" readingOrder="0" vertical="center"/>
    </xf>
    <xf borderId="9" fillId="0" fontId="7" numFmtId="0" xfId="0" applyBorder="1" applyFont="1"/>
    <xf borderId="1" fillId="11" fontId="17" numFmtId="0" xfId="0" applyAlignment="1" applyBorder="1" applyFont="1">
      <alignment horizontal="right" vertical="center"/>
    </xf>
    <xf borderId="10" fillId="3" fontId="18" numFmtId="0" xfId="0" applyAlignment="1" applyBorder="1" applyFont="1">
      <alignment horizontal="center" vertical="center"/>
    </xf>
    <xf borderId="10" fillId="3" fontId="18" numFmtId="0" xfId="0" applyAlignment="1" applyBorder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vertical="center"/>
    </xf>
    <xf borderId="5" fillId="6" fontId="19" numFmtId="0" xfId="0" applyAlignment="1" applyBorder="1" applyFont="1">
      <alignment horizontal="center" vertical="center"/>
    </xf>
    <xf borderId="5" fillId="14" fontId="19" numFmtId="0" xfId="0" applyAlignment="1" applyBorder="1" applyFill="1" applyFont="1">
      <alignment horizontal="center" vertical="center"/>
    </xf>
    <xf borderId="5" fillId="15" fontId="19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16" fontId="3" numFmtId="0" xfId="0" applyAlignment="1" applyBorder="1" applyFill="1" applyFont="1">
      <alignment horizontal="left" vertical="center"/>
    </xf>
    <xf borderId="1" fillId="13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14" fontId="1" numFmtId="0" xfId="0" applyAlignment="1" applyBorder="1" applyFont="1">
      <alignment horizontal="center" shrinkToFit="0" vertical="center" wrapText="1"/>
    </xf>
    <xf borderId="1" fillId="17" fontId="1" numFmtId="0" xfId="0" applyAlignment="1" applyBorder="1" applyFill="1" applyFont="1">
      <alignment horizontal="center" shrinkToFit="0" vertical="center" wrapText="1"/>
    </xf>
    <xf borderId="1" fillId="18" fontId="1" numFmtId="0" xfId="0" applyAlignment="1" applyBorder="1" applyFill="1" applyFont="1">
      <alignment horizontal="center" shrinkToFit="0" vertical="center" wrapText="1"/>
    </xf>
    <xf borderId="1" fillId="19" fontId="1" numFmtId="0" xfId="0" applyAlignment="1" applyBorder="1" applyFill="1" applyFont="1">
      <alignment horizontal="center" shrinkToFit="0" vertical="center" wrapText="1"/>
    </xf>
    <xf borderId="1" fillId="20" fontId="1" numFmtId="0" xfId="0" applyAlignment="1" applyBorder="1" applyFill="1" applyFont="1">
      <alignment horizontal="center" shrinkToFit="0" vertical="center" wrapText="1"/>
    </xf>
    <xf borderId="1" fillId="16" fontId="1" numFmtId="0" xfId="0" applyAlignment="1" applyBorder="1" applyFont="1">
      <alignment horizontal="center" shrinkToFit="0" vertical="center" wrapText="1"/>
    </xf>
    <xf borderId="1" fillId="6" fontId="19" numFmtId="0" xfId="0" applyAlignment="1" applyBorder="1" applyFont="1">
      <alignment horizontal="left" vertical="center"/>
    </xf>
    <xf borderId="10" fillId="12" fontId="20" numFmtId="0" xfId="0" applyAlignment="1" applyBorder="1" applyFont="1">
      <alignment horizontal="center" vertical="center"/>
    </xf>
    <xf borderId="1" fillId="3" fontId="21" numFmtId="0" xfId="0" applyAlignment="1" applyBorder="1" applyFont="1">
      <alignment horizontal="center" vertical="center"/>
    </xf>
    <xf borderId="1" fillId="3" fontId="22" numFmtId="0" xfId="0" applyAlignment="1" applyBorder="1" applyFont="1">
      <alignment horizontal="center" shrinkToFit="0" vertical="center" wrapText="1"/>
    </xf>
    <xf borderId="1" fillId="3" fontId="23" numFmtId="0" xfId="0" applyAlignment="1" applyBorder="1" applyFont="1">
      <alignment horizontal="center" vertical="center"/>
    </xf>
    <xf borderId="11" fillId="11" fontId="24" numFmtId="0" xfId="0" applyAlignment="1" applyBorder="1" applyFont="1">
      <alignment horizontal="center" vertical="center"/>
    </xf>
    <xf borderId="1" fillId="11" fontId="25" numFmtId="0" xfId="0" applyAlignment="1" applyBorder="1" applyFont="1">
      <alignment horizontal="center" vertical="center"/>
    </xf>
    <xf borderId="1" fillId="11" fontId="22" numFmtId="0" xfId="0" applyAlignment="1" applyBorder="1" applyFont="1">
      <alignment horizontal="center" shrinkToFit="0" vertical="center" wrapText="1"/>
    </xf>
    <xf borderId="1" fillId="11" fontId="23" numFmtId="0" xfId="0" applyAlignment="1" applyBorder="1" applyFont="1">
      <alignment horizontal="center" vertical="center"/>
    </xf>
    <xf borderId="1" fillId="3" fontId="26" numFmtId="0" xfId="0" applyAlignment="1" applyBorder="1" applyFont="1">
      <alignment horizontal="center" vertical="center"/>
    </xf>
    <xf borderId="1" fillId="7" fontId="26" numFmtId="0" xfId="0" applyAlignment="1" applyBorder="1" applyFont="1">
      <alignment horizontal="center" vertical="center"/>
    </xf>
    <xf borderId="1" fillId="8" fontId="26" numFmtId="0" xfId="0" applyAlignment="1" applyBorder="1" applyFont="1">
      <alignment horizontal="center" vertical="center"/>
    </xf>
    <xf borderId="1" fillId="9" fontId="26" numFmtId="0" xfId="0" applyAlignment="1" applyBorder="1" applyFont="1">
      <alignment horizontal="center" vertical="center"/>
    </xf>
    <xf borderId="1" fillId="10" fontId="26" numFmtId="0" xfId="0" applyAlignment="1" applyBorder="1" applyFont="1">
      <alignment horizontal="center" vertical="center"/>
    </xf>
    <xf borderId="1" fillId="3" fontId="27" numFmtId="0" xfId="0" applyAlignment="1" applyBorder="1" applyFont="1">
      <alignment horizontal="center" shrinkToFit="0" vertical="center" wrapText="1"/>
    </xf>
    <xf borderId="1" fillId="21" fontId="28" numFmtId="0" xfId="0" applyAlignment="1" applyBorder="1" applyFill="1" applyFont="1">
      <alignment horizontal="left" shrinkToFit="0" vertical="top" wrapText="1"/>
    </xf>
    <xf borderId="1" fillId="17" fontId="19" numFmtId="0" xfId="0" applyAlignment="1" applyBorder="1" applyFont="1">
      <alignment horizontal="left" vertical="center"/>
    </xf>
    <xf borderId="1" fillId="7" fontId="21" numFmtId="0" xfId="0" applyAlignment="1" applyBorder="1" applyFont="1">
      <alignment horizontal="center" vertical="center"/>
    </xf>
    <xf borderId="1" fillId="7" fontId="22" numFmtId="0" xfId="0" applyAlignment="1" applyBorder="1" applyFont="1">
      <alignment horizontal="center" shrinkToFit="0" vertical="center" wrapText="1"/>
    </xf>
    <xf borderId="1" fillId="7" fontId="23" numFmtId="0" xfId="0" applyAlignment="1" applyBorder="1" applyFont="1">
      <alignment horizontal="center" vertical="center"/>
    </xf>
    <xf borderId="1" fillId="22" fontId="19" numFmtId="0" xfId="0" applyAlignment="1" applyBorder="1" applyFill="1" applyFont="1">
      <alignment horizontal="left" vertical="center"/>
    </xf>
    <xf borderId="1" fillId="18" fontId="19" numFmtId="0" xfId="0" applyAlignment="1" applyBorder="1" applyFont="1">
      <alignment horizontal="left" vertical="center"/>
    </xf>
    <xf borderId="1" fillId="8" fontId="21" numFmtId="0" xfId="0" applyAlignment="1" applyBorder="1" applyFont="1">
      <alignment horizontal="center" vertical="center"/>
    </xf>
    <xf borderId="1" fillId="8" fontId="22" numFmtId="0" xfId="0" applyAlignment="1" applyBorder="1" applyFont="1">
      <alignment horizontal="center" shrinkToFit="0" vertical="center" wrapText="1"/>
    </xf>
    <xf borderId="1" fillId="8" fontId="23" numFmtId="0" xfId="0" applyAlignment="1" applyBorder="1" applyFont="1">
      <alignment horizontal="center" vertical="center"/>
    </xf>
    <xf borderId="1" fillId="23" fontId="19" numFmtId="0" xfId="0" applyAlignment="1" applyBorder="1" applyFill="1" applyFont="1">
      <alignment horizontal="left" vertical="center"/>
    </xf>
    <xf borderId="1" fillId="24" fontId="19" numFmtId="0" xfId="0" applyAlignment="1" applyBorder="1" applyFill="1" applyFont="1">
      <alignment horizontal="left" vertical="center"/>
    </xf>
    <xf borderId="1" fillId="21" fontId="21" numFmtId="0" xfId="0" applyAlignment="1" applyBorder="1" applyFont="1">
      <alignment horizontal="center" vertical="center"/>
    </xf>
    <xf borderId="1" fillId="21" fontId="22" numFmtId="0" xfId="0" applyAlignment="1" applyBorder="1" applyFont="1">
      <alignment horizontal="center" shrinkToFit="0" vertical="center" wrapText="1"/>
    </xf>
    <xf borderId="1" fillId="21" fontId="23" numFmtId="0" xfId="0" applyAlignment="1" applyBorder="1" applyFont="1">
      <alignment horizontal="center" vertical="center"/>
    </xf>
    <xf borderId="2" fillId="2" fontId="19" numFmtId="0" xfId="0" applyAlignment="1" applyBorder="1" applyFont="1">
      <alignment horizontal="left" vertical="center"/>
    </xf>
    <xf borderId="5" fillId="11" fontId="29" numFmtId="0" xfId="0" applyAlignment="1" applyBorder="1" applyFont="1">
      <alignment horizontal="left" vertical="center"/>
    </xf>
    <xf borderId="1" fillId="3" fontId="23" numFmtId="0" xfId="0" applyAlignment="1" applyBorder="1" applyFont="1">
      <alignment horizontal="center" shrinkToFit="0" vertical="center" wrapText="1"/>
    </xf>
    <xf borderId="1" fillId="7" fontId="23" numFmtId="0" xfId="0" applyAlignment="1" applyBorder="1" applyFont="1">
      <alignment horizontal="center" shrinkToFit="0" vertical="center" wrapText="1"/>
    </xf>
    <xf borderId="1" fillId="8" fontId="23" numFmtId="0" xfId="0" applyAlignment="1" applyBorder="1" applyFont="1">
      <alignment horizontal="center" shrinkToFit="0" vertical="center" wrapText="1"/>
    </xf>
    <xf borderId="1" fillId="9" fontId="23" numFmtId="0" xfId="0" applyAlignment="1" applyBorder="1" applyFont="1">
      <alignment horizontal="center" shrinkToFit="0" vertical="center" wrapText="1"/>
    </xf>
    <xf borderId="1" fillId="10" fontId="23" numFmtId="0" xfId="0" applyAlignment="1" applyBorder="1" applyFont="1">
      <alignment horizontal="center" shrinkToFit="0" vertical="center" wrapText="1"/>
    </xf>
    <xf borderId="12" fillId="3" fontId="15" numFmtId="0" xfId="0" applyAlignment="1" applyBorder="1" applyFont="1">
      <alignment horizontal="left" shrinkToFit="0" vertical="center" wrapText="1"/>
    </xf>
    <xf borderId="13" fillId="0" fontId="7" numFmtId="0" xfId="0" applyBorder="1" applyFont="1"/>
    <xf borderId="14" fillId="0" fontId="7" numFmtId="0" xfId="0" applyBorder="1" applyFont="1"/>
    <xf borderId="2" fillId="6" fontId="30" numFmtId="0" xfId="0" applyAlignment="1" applyBorder="1" applyFont="1">
      <alignment horizontal="left" vertical="center"/>
    </xf>
    <xf borderId="2" fillId="3" fontId="31" numFmtId="0" xfId="0" applyAlignment="1" applyBorder="1" applyFont="1">
      <alignment horizontal="left" vertical="center"/>
    </xf>
    <xf borderId="1" fillId="24" fontId="1" numFmtId="0" xfId="0" applyAlignment="1" applyBorder="1" applyFont="1">
      <alignment horizontal="center" shrinkToFit="0" vertical="center" wrapText="1"/>
    </xf>
    <xf borderId="1" fillId="25" fontId="1" numFmtId="0" xfId="0" applyAlignment="1" applyBorder="1" applyFill="1" applyFont="1">
      <alignment horizontal="center" shrinkToFit="0" vertical="center" wrapText="1"/>
    </xf>
    <xf borderId="15" fillId="6" fontId="19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1" fillId="11" fontId="32" numFmtId="0" xfId="0" applyAlignment="1" applyBorder="1" applyFont="1">
      <alignment horizontal="center" shrinkToFit="0" vertical="center" wrapText="1"/>
    </xf>
    <xf borderId="1" fillId="7" fontId="32" numFmtId="0" xfId="0" applyAlignment="1" applyBorder="1" applyFont="1">
      <alignment horizontal="center" shrinkToFit="0" vertical="center" wrapText="1"/>
    </xf>
    <xf borderId="1" fillId="21" fontId="32" numFmtId="0" xfId="0" applyAlignment="1" applyBorder="1" applyFont="1">
      <alignment horizontal="center" shrinkToFit="0" vertical="center" wrapText="1"/>
    </xf>
    <xf borderId="1" fillId="5" fontId="32" numFmtId="0" xfId="0" applyAlignment="1" applyBorder="1" applyFont="1">
      <alignment horizontal="center" shrinkToFit="0" vertical="center" wrapText="1"/>
    </xf>
    <xf borderId="1" fillId="9" fontId="32" numFmtId="0" xfId="0" applyAlignment="1" applyBorder="1" applyFont="1">
      <alignment horizontal="center" shrinkToFit="0" vertical="center" wrapText="1"/>
    </xf>
    <xf borderId="16" fillId="0" fontId="7" numFmtId="0" xfId="0" applyBorder="1" applyFont="1"/>
    <xf borderId="1" fillId="14" fontId="1" numFmtId="0" xfId="0" applyAlignment="1" applyBorder="1" applyFont="1">
      <alignment horizontal="center" vertical="center"/>
    </xf>
    <xf borderId="1" fillId="26" fontId="33" numFmtId="0" xfId="0" applyAlignment="1" applyBorder="1" applyFill="1" applyFont="1">
      <alignment horizontal="center" shrinkToFit="0" vertical="center" wrapText="1"/>
    </xf>
    <xf borderId="17" fillId="0" fontId="7" numFmtId="0" xfId="0" applyBorder="1" applyFont="1"/>
    <xf borderId="1" fillId="23" fontId="1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shrinkToFit="0" vertical="center" wrapText="1"/>
    </xf>
    <xf borderId="2" fillId="11" fontId="2" numFmtId="0" xfId="0" applyBorder="1" applyFont="1"/>
    <xf borderId="15" fillId="17" fontId="19" numFmtId="0" xfId="0" applyAlignment="1" applyBorder="1" applyFont="1">
      <alignment horizontal="center" shrinkToFit="0" vertical="center" wrapText="1"/>
    </xf>
    <xf borderId="1" fillId="17" fontId="1" numFmtId="0" xfId="0" applyAlignment="1" applyBorder="1" applyFont="1">
      <alignment horizontal="center" vertical="center"/>
    </xf>
    <xf borderId="15" fillId="22" fontId="19" numFmtId="0" xfId="0" applyAlignment="1" applyBorder="1" applyFont="1">
      <alignment horizontal="center" shrinkToFit="0" vertical="center" wrapText="1"/>
    </xf>
    <xf borderId="1" fillId="22" fontId="1" numFmtId="0" xfId="0" applyAlignment="1" applyBorder="1" applyFont="1">
      <alignment horizontal="center" vertical="center"/>
    </xf>
    <xf borderId="15" fillId="18" fontId="19" numFmtId="0" xfId="0" applyAlignment="1" applyBorder="1" applyFont="1">
      <alignment horizontal="center" shrinkToFit="0" vertical="center" wrapText="1"/>
    </xf>
    <xf borderId="1" fillId="18" fontId="1" numFmtId="0" xfId="0" applyAlignment="1" applyBorder="1" applyFont="1">
      <alignment horizontal="center" vertical="center"/>
    </xf>
    <xf borderId="15" fillId="23" fontId="19" numFmtId="0" xfId="0" applyAlignment="1" applyBorder="1" applyFont="1">
      <alignment horizontal="center" shrinkToFit="0" vertical="center" wrapText="1"/>
    </xf>
    <xf borderId="15" fillId="24" fontId="19" numFmtId="0" xfId="0" applyAlignment="1" applyBorder="1" applyFont="1">
      <alignment horizontal="center" shrinkToFit="0" vertical="center" wrapText="1"/>
    </xf>
    <xf borderId="1" fillId="24" fontId="1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>
        <b/>
        <sz val="11.0"/>
        <color rgb="FF276221"/>
      </font>
      <fill>
        <patternFill patternType="solid">
          <fgColor rgb="FFC6EFCE"/>
          <bgColor rgb="FFC6EFCE"/>
        </patternFill>
      </fill>
      <border/>
    </dxf>
    <dxf>
      <font>
        <b/>
        <sz val="11.0"/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sz val="11.0"/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4441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1" width="18.0"/>
    <col customWidth="1" min="22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32</v>
      </c>
      <c r="S2" s="2" t="s">
        <v>33</v>
      </c>
      <c r="T2" s="2" t="s">
        <v>32</v>
      </c>
      <c r="U2" s="2" t="s">
        <v>34</v>
      </c>
    </row>
    <row r="3">
      <c r="A3" s="3" t="s">
        <v>35</v>
      </c>
      <c r="B3" s="3" t="s">
        <v>36</v>
      </c>
      <c r="C3" s="3" t="s">
        <v>23</v>
      </c>
      <c r="D3" s="3" t="s">
        <v>37</v>
      </c>
      <c r="E3" s="3" t="s">
        <v>25</v>
      </c>
      <c r="F3" s="3" t="s">
        <v>25</v>
      </c>
      <c r="G3" s="3" t="s">
        <v>27</v>
      </c>
      <c r="H3" s="3" t="s">
        <v>27</v>
      </c>
      <c r="I3" s="3" t="s">
        <v>29</v>
      </c>
      <c r="J3" s="3" t="s">
        <v>30</v>
      </c>
      <c r="K3" s="3" t="s">
        <v>31</v>
      </c>
      <c r="L3" s="3" t="s">
        <v>33</v>
      </c>
      <c r="M3" s="3" t="s">
        <v>31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32</v>
      </c>
      <c r="S3" s="3" t="s">
        <v>33</v>
      </c>
      <c r="T3" s="3" t="s">
        <v>33</v>
      </c>
      <c r="U3" s="3" t="s">
        <v>38</v>
      </c>
    </row>
    <row r="4">
      <c r="A4" s="2" t="s">
        <v>39</v>
      </c>
      <c r="B4" s="2" t="s">
        <v>40</v>
      </c>
      <c r="C4" s="2" t="s">
        <v>37</v>
      </c>
      <c r="D4" s="2" t="s">
        <v>41</v>
      </c>
      <c r="E4" s="2" t="s">
        <v>25</v>
      </c>
      <c r="F4" s="2" t="s">
        <v>42</v>
      </c>
      <c r="G4" s="2" t="s">
        <v>27</v>
      </c>
      <c r="H4" s="2" t="s">
        <v>43</v>
      </c>
      <c r="I4" s="2" t="s">
        <v>30</v>
      </c>
      <c r="J4" s="2" t="s">
        <v>44</v>
      </c>
      <c r="K4" s="2" t="s">
        <v>33</v>
      </c>
      <c r="L4" s="2" t="s">
        <v>32</v>
      </c>
      <c r="M4" s="2" t="s">
        <v>33</v>
      </c>
      <c r="N4" s="2" t="s">
        <v>33</v>
      </c>
      <c r="O4" s="2" t="s">
        <v>33</v>
      </c>
      <c r="P4" s="2" t="s">
        <v>31</v>
      </c>
      <c r="Q4" s="2" t="s">
        <v>32</v>
      </c>
      <c r="R4" s="2" t="s">
        <v>31</v>
      </c>
      <c r="S4" s="2" t="s">
        <v>33</v>
      </c>
      <c r="T4" s="2" t="s">
        <v>33</v>
      </c>
      <c r="U4" s="2" t="s">
        <v>45</v>
      </c>
    </row>
    <row r="5">
      <c r="A5" s="3" t="s">
        <v>46</v>
      </c>
      <c r="B5" s="3" t="s">
        <v>47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31</v>
      </c>
      <c r="N5" s="3" t="s">
        <v>32</v>
      </c>
      <c r="O5" s="3" t="s">
        <v>33</v>
      </c>
      <c r="P5" s="3" t="s">
        <v>33</v>
      </c>
      <c r="Q5" s="3" t="s">
        <v>33</v>
      </c>
      <c r="R5" s="3" t="s">
        <v>32</v>
      </c>
      <c r="S5" s="3" t="s">
        <v>33</v>
      </c>
      <c r="T5" s="3" t="s">
        <v>32</v>
      </c>
      <c r="U5" s="3" t="s">
        <v>48</v>
      </c>
    </row>
    <row r="6">
      <c r="A6" s="2" t="s">
        <v>49</v>
      </c>
      <c r="B6" s="2" t="s">
        <v>50</v>
      </c>
      <c r="C6" s="2" t="s">
        <v>23</v>
      </c>
      <c r="D6" s="2" t="s">
        <v>41</v>
      </c>
      <c r="E6" s="2" t="s">
        <v>25</v>
      </c>
      <c r="F6" s="2" t="s">
        <v>42</v>
      </c>
      <c r="G6" s="2" t="s">
        <v>27</v>
      </c>
      <c r="H6" s="2" t="s">
        <v>43</v>
      </c>
      <c r="I6" s="2" t="s">
        <v>29</v>
      </c>
      <c r="J6" s="2" t="s">
        <v>44</v>
      </c>
      <c r="K6" s="2" t="s">
        <v>31</v>
      </c>
      <c r="L6" s="2" t="s">
        <v>32</v>
      </c>
      <c r="M6" s="2" t="s">
        <v>31</v>
      </c>
      <c r="N6" s="2" t="s">
        <v>33</v>
      </c>
      <c r="O6" s="2" t="s">
        <v>33</v>
      </c>
      <c r="P6" s="2" t="s">
        <v>31</v>
      </c>
      <c r="Q6" s="2" t="s">
        <v>33</v>
      </c>
      <c r="R6" s="2" t="s">
        <v>31</v>
      </c>
      <c r="S6" s="2" t="s">
        <v>33</v>
      </c>
      <c r="T6" s="2" t="s">
        <v>33</v>
      </c>
      <c r="U6" s="2" t="s">
        <v>51</v>
      </c>
    </row>
    <row r="7">
      <c r="A7" s="3" t="s">
        <v>52</v>
      </c>
      <c r="B7" s="3" t="s">
        <v>53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29</v>
      </c>
      <c r="J7" s="3" t="s">
        <v>30</v>
      </c>
      <c r="K7" s="3" t="s">
        <v>31</v>
      </c>
      <c r="L7" s="3" t="s">
        <v>32</v>
      </c>
      <c r="M7" s="3" t="s">
        <v>31</v>
      </c>
      <c r="N7" s="3" t="s">
        <v>32</v>
      </c>
      <c r="O7" s="3" t="s">
        <v>33</v>
      </c>
      <c r="P7" s="3" t="s">
        <v>33</v>
      </c>
      <c r="Q7" s="3" t="s">
        <v>33</v>
      </c>
      <c r="R7" s="3" t="s">
        <v>32</v>
      </c>
      <c r="S7" s="3" t="s">
        <v>33</v>
      </c>
      <c r="T7" s="3" t="s">
        <v>32</v>
      </c>
      <c r="U7" s="3" t="s">
        <v>54</v>
      </c>
    </row>
    <row r="8">
      <c r="A8" s="2" t="s">
        <v>55</v>
      </c>
      <c r="B8" s="2" t="s">
        <v>22</v>
      </c>
      <c r="C8" s="2" t="s">
        <v>23</v>
      </c>
      <c r="D8" s="2" t="s">
        <v>56</v>
      </c>
      <c r="E8" s="2" t="s">
        <v>25</v>
      </c>
      <c r="F8" s="2" t="s">
        <v>25</v>
      </c>
      <c r="G8" s="2" t="s">
        <v>27</v>
      </c>
      <c r="H8" s="2" t="s">
        <v>57</v>
      </c>
      <c r="I8" s="2" t="s">
        <v>29</v>
      </c>
      <c r="J8" s="2" t="s">
        <v>30</v>
      </c>
      <c r="K8" s="2" t="s">
        <v>31</v>
      </c>
      <c r="L8" s="2" t="s">
        <v>33</v>
      </c>
      <c r="M8" s="2" t="s">
        <v>31</v>
      </c>
      <c r="N8" s="2" t="s">
        <v>31</v>
      </c>
      <c r="O8" s="2" t="s">
        <v>33</v>
      </c>
      <c r="P8" s="2" t="s">
        <v>31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58</v>
      </c>
    </row>
    <row r="9">
      <c r="A9" s="3" t="s">
        <v>59</v>
      </c>
      <c r="B9" s="3" t="s">
        <v>36</v>
      </c>
      <c r="C9" s="3" t="s">
        <v>23</v>
      </c>
      <c r="D9" s="3" t="s">
        <v>56</v>
      </c>
      <c r="E9" s="3" t="s">
        <v>25</v>
      </c>
      <c r="F9" s="3" t="s">
        <v>25</v>
      </c>
      <c r="G9" s="3" t="s">
        <v>27</v>
      </c>
      <c r="H9" s="3" t="s">
        <v>57</v>
      </c>
      <c r="I9" s="3" t="s">
        <v>29</v>
      </c>
      <c r="J9" s="3" t="s">
        <v>30</v>
      </c>
      <c r="K9" s="3" t="s">
        <v>31</v>
      </c>
      <c r="L9" s="3" t="s">
        <v>33</v>
      </c>
      <c r="M9" s="3" t="s">
        <v>31</v>
      </c>
      <c r="N9" s="3" t="s">
        <v>31</v>
      </c>
      <c r="O9" s="3" t="s">
        <v>33</v>
      </c>
      <c r="P9" s="3" t="s">
        <v>31</v>
      </c>
      <c r="Q9" s="3" t="s">
        <v>33</v>
      </c>
      <c r="R9" s="3" t="s">
        <v>33</v>
      </c>
      <c r="S9" s="3" t="s">
        <v>33</v>
      </c>
      <c r="T9" s="3" t="s">
        <v>33</v>
      </c>
      <c r="U9" s="3" t="s">
        <v>60</v>
      </c>
    </row>
    <row r="10">
      <c r="A10" s="2" t="s">
        <v>61</v>
      </c>
      <c r="B10" s="2" t="s">
        <v>40</v>
      </c>
      <c r="C10" s="2" t="s">
        <v>62</v>
      </c>
      <c r="D10" s="2" t="s">
        <v>56</v>
      </c>
      <c r="E10" s="2" t="s">
        <v>25</v>
      </c>
      <c r="F10" s="2" t="s">
        <v>25</v>
      </c>
      <c r="G10" s="2" t="s">
        <v>27</v>
      </c>
      <c r="H10" s="2" t="s">
        <v>57</v>
      </c>
      <c r="I10" s="2" t="s">
        <v>30</v>
      </c>
      <c r="J10" s="2" t="s">
        <v>30</v>
      </c>
      <c r="K10" s="2" t="s">
        <v>31</v>
      </c>
      <c r="L10" s="2" t="s">
        <v>33</v>
      </c>
      <c r="M10" s="2" t="s">
        <v>33</v>
      </c>
      <c r="N10" s="2" t="s">
        <v>31</v>
      </c>
      <c r="O10" s="2" t="s">
        <v>33</v>
      </c>
      <c r="P10" s="2" t="s">
        <v>31</v>
      </c>
      <c r="Q10" s="2" t="s">
        <v>31</v>
      </c>
      <c r="R10" s="2" t="s">
        <v>33</v>
      </c>
      <c r="S10" s="2" t="s">
        <v>33</v>
      </c>
      <c r="T10" s="2" t="s">
        <v>33</v>
      </c>
      <c r="U10" s="2" t="s">
        <v>63</v>
      </c>
    </row>
    <row r="11">
      <c r="A11" s="3" t="s">
        <v>64</v>
      </c>
      <c r="B11" s="3" t="s">
        <v>47</v>
      </c>
      <c r="C11" s="3" t="s">
        <v>23</v>
      </c>
      <c r="D11" s="3" t="s">
        <v>56</v>
      </c>
      <c r="E11" s="3" t="s">
        <v>25</v>
      </c>
      <c r="F11" s="3" t="s">
        <v>25</v>
      </c>
      <c r="G11" s="3" t="s">
        <v>27</v>
      </c>
      <c r="H11" s="3" t="s">
        <v>57</v>
      </c>
      <c r="I11" s="3" t="s">
        <v>29</v>
      </c>
      <c r="J11" s="3" t="s">
        <v>30</v>
      </c>
      <c r="K11" s="3" t="s">
        <v>31</v>
      </c>
      <c r="L11" s="3" t="s">
        <v>33</v>
      </c>
      <c r="M11" s="3" t="s">
        <v>31</v>
      </c>
      <c r="N11" s="3" t="s">
        <v>31</v>
      </c>
      <c r="O11" s="3" t="s">
        <v>33</v>
      </c>
      <c r="P11" s="3" t="s">
        <v>31</v>
      </c>
      <c r="Q11" s="3" t="s">
        <v>33</v>
      </c>
      <c r="R11" s="3" t="s">
        <v>33</v>
      </c>
      <c r="S11" s="3" t="s">
        <v>33</v>
      </c>
      <c r="T11" s="3" t="s">
        <v>33</v>
      </c>
      <c r="U11" s="3" t="s">
        <v>65</v>
      </c>
    </row>
    <row r="12">
      <c r="A12" s="2" t="s">
        <v>66</v>
      </c>
      <c r="B12" s="2" t="s">
        <v>50</v>
      </c>
      <c r="C12" s="2" t="s">
        <v>23</v>
      </c>
      <c r="D12" s="2" t="s">
        <v>56</v>
      </c>
      <c r="E12" s="2" t="s">
        <v>25</v>
      </c>
      <c r="F12" s="2" t="s">
        <v>25</v>
      </c>
      <c r="G12" s="2" t="s">
        <v>27</v>
      </c>
      <c r="H12" s="2" t="s">
        <v>57</v>
      </c>
      <c r="I12" s="2" t="s">
        <v>29</v>
      </c>
      <c r="J12" s="2" t="s">
        <v>30</v>
      </c>
      <c r="K12" s="2" t="s">
        <v>31</v>
      </c>
      <c r="L12" s="2" t="s">
        <v>33</v>
      </c>
      <c r="M12" s="2" t="s">
        <v>31</v>
      </c>
      <c r="N12" s="2" t="s">
        <v>31</v>
      </c>
      <c r="O12" s="2" t="s">
        <v>33</v>
      </c>
      <c r="P12" s="2" t="s">
        <v>31</v>
      </c>
      <c r="Q12" s="2" t="s">
        <v>33</v>
      </c>
      <c r="R12" s="2" t="s">
        <v>33</v>
      </c>
      <c r="S12" s="2" t="s">
        <v>33</v>
      </c>
      <c r="T12" s="2" t="s">
        <v>33</v>
      </c>
      <c r="U12" s="2" t="s">
        <v>67</v>
      </c>
    </row>
    <row r="13">
      <c r="A13" s="3" t="s">
        <v>68</v>
      </c>
      <c r="B13" s="3" t="s">
        <v>53</v>
      </c>
      <c r="C13" s="3" t="s">
        <v>23</v>
      </c>
      <c r="D13" s="3" t="s">
        <v>56</v>
      </c>
      <c r="E13" s="3" t="s">
        <v>25</v>
      </c>
      <c r="F13" s="3" t="s">
        <v>25</v>
      </c>
      <c r="G13" s="3" t="s">
        <v>27</v>
      </c>
      <c r="H13" s="3" t="s">
        <v>57</v>
      </c>
      <c r="I13" s="3" t="s">
        <v>29</v>
      </c>
      <c r="J13" s="3" t="s">
        <v>30</v>
      </c>
      <c r="K13" s="3" t="s">
        <v>31</v>
      </c>
      <c r="L13" s="3" t="s">
        <v>33</v>
      </c>
      <c r="M13" s="3" t="s">
        <v>31</v>
      </c>
      <c r="N13" s="3" t="s">
        <v>31</v>
      </c>
      <c r="O13" s="3" t="s">
        <v>33</v>
      </c>
      <c r="P13" s="3" t="s">
        <v>31</v>
      </c>
      <c r="Q13" s="3" t="s">
        <v>33</v>
      </c>
      <c r="R13" s="3" t="s">
        <v>33</v>
      </c>
      <c r="S13" s="3" t="s">
        <v>33</v>
      </c>
      <c r="T13" s="3" t="s">
        <v>33</v>
      </c>
      <c r="U13" s="3" t="s">
        <v>69</v>
      </c>
    </row>
    <row r="14">
      <c r="A14" s="2" t="s">
        <v>70</v>
      </c>
      <c r="B14" s="2" t="s">
        <v>22</v>
      </c>
      <c r="C14" s="2" t="s">
        <v>23</v>
      </c>
      <c r="D14" s="2" t="s">
        <v>56</v>
      </c>
      <c r="E14" s="2" t="s">
        <v>25</v>
      </c>
      <c r="F14" s="2" t="s">
        <v>25</v>
      </c>
      <c r="G14" s="2" t="s">
        <v>27</v>
      </c>
      <c r="H14" s="2" t="s">
        <v>57</v>
      </c>
      <c r="I14" s="2" t="s">
        <v>29</v>
      </c>
      <c r="J14" s="2" t="s">
        <v>30</v>
      </c>
      <c r="K14" s="2" t="s">
        <v>31</v>
      </c>
      <c r="L14" s="2" t="s">
        <v>33</v>
      </c>
      <c r="M14" s="2" t="s">
        <v>31</v>
      </c>
      <c r="N14" s="2" t="s">
        <v>31</v>
      </c>
      <c r="O14" s="2" t="s">
        <v>33</v>
      </c>
      <c r="P14" s="2" t="s">
        <v>31</v>
      </c>
      <c r="Q14" s="2" t="s">
        <v>33</v>
      </c>
      <c r="R14" s="2" t="s">
        <v>33</v>
      </c>
      <c r="S14" s="2" t="s">
        <v>33</v>
      </c>
      <c r="T14" s="2" t="s">
        <v>33</v>
      </c>
      <c r="U14" s="2" t="s">
        <v>71</v>
      </c>
    </row>
    <row r="15">
      <c r="A15" s="3" t="s">
        <v>72</v>
      </c>
      <c r="B15" s="3" t="s">
        <v>36</v>
      </c>
      <c r="C15" s="3" t="s">
        <v>23</v>
      </c>
      <c r="D15" s="3" t="s">
        <v>56</v>
      </c>
      <c r="E15" s="3" t="s">
        <v>25</v>
      </c>
      <c r="F15" s="3" t="s">
        <v>25</v>
      </c>
      <c r="G15" s="3" t="s">
        <v>27</v>
      </c>
      <c r="H15" s="3" t="s">
        <v>57</v>
      </c>
      <c r="I15" s="3" t="s">
        <v>29</v>
      </c>
      <c r="J15" s="3" t="s">
        <v>30</v>
      </c>
      <c r="K15" s="3" t="s">
        <v>31</v>
      </c>
      <c r="L15" s="3" t="s">
        <v>33</v>
      </c>
      <c r="M15" s="3" t="s">
        <v>31</v>
      </c>
      <c r="N15" s="3" t="s">
        <v>31</v>
      </c>
      <c r="O15" s="3" t="s">
        <v>33</v>
      </c>
      <c r="P15" s="3" t="s">
        <v>31</v>
      </c>
      <c r="Q15" s="3" t="s">
        <v>33</v>
      </c>
      <c r="R15" s="3" t="s">
        <v>33</v>
      </c>
      <c r="S15" s="3" t="s">
        <v>33</v>
      </c>
      <c r="T15" s="3" t="s">
        <v>33</v>
      </c>
      <c r="U15" s="3" t="s">
        <v>73</v>
      </c>
    </row>
    <row r="16">
      <c r="A16" s="2" t="s">
        <v>74</v>
      </c>
      <c r="B16" s="2" t="s">
        <v>40</v>
      </c>
      <c r="C16" s="2" t="s">
        <v>62</v>
      </c>
      <c r="D16" s="2" t="s">
        <v>56</v>
      </c>
      <c r="E16" s="2" t="s">
        <v>25</v>
      </c>
      <c r="F16" s="2" t="s">
        <v>25</v>
      </c>
      <c r="G16" s="2" t="s">
        <v>27</v>
      </c>
      <c r="H16" s="2" t="s">
        <v>57</v>
      </c>
      <c r="I16" s="2" t="s">
        <v>30</v>
      </c>
      <c r="J16" s="2" t="s">
        <v>30</v>
      </c>
      <c r="K16" s="2" t="s">
        <v>31</v>
      </c>
      <c r="L16" s="2" t="s">
        <v>33</v>
      </c>
      <c r="M16" s="2" t="s">
        <v>33</v>
      </c>
      <c r="N16" s="2" t="s">
        <v>31</v>
      </c>
      <c r="O16" s="2" t="s">
        <v>33</v>
      </c>
      <c r="P16" s="2" t="s">
        <v>31</v>
      </c>
      <c r="Q16" s="2" t="s">
        <v>31</v>
      </c>
      <c r="R16" s="2" t="s">
        <v>33</v>
      </c>
      <c r="S16" s="2" t="s">
        <v>33</v>
      </c>
      <c r="T16" s="2" t="s">
        <v>33</v>
      </c>
      <c r="U16" s="2" t="s">
        <v>75</v>
      </c>
    </row>
    <row r="17">
      <c r="A17" s="3" t="s">
        <v>76</v>
      </c>
      <c r="B17" s="3" t="s">
        <v>47</v>
      </c>
      <c r="C17" s="3" t="s">
        <v>23</v>
      </c>
      <c r="D17" s="3" t="s">
        <v>56</v>
      </c>
      <c r="E17" s="3" t="s">
        <v>25</v>
      </c>
      <c r="F17" s="3" t="s">
        <v>25</v>
      </c>
      <c r="G17" s="3" t="s">
        <v>27</v>
      </c>
      <c r="H17" s="3" t="s">
        <v>57</v>
      </c>
      <c r="I17" s="3" t="s">
        <v>29</v>
      </c>
      <c r="J17" s="3" t="s">
        <v>30</v>
      </c>
      <c r="K17" s="3" t="s">
        <v>31</v>
      </c>
      <c r="L17" s="3" t="s">
        <v>33</v>
      </c>
      <c r="M17" s="3" t="s">
        <v>31</v>
      </c>
      <c r="N17" s="3" t="s">
        <v>31</v>
      </c>
      <c r="O17" s="3" t="s">
        <v>33</v>
      </c>
      <c r="P17" s="3" t="s">
        <v>31</v>
      </c>
      <c r="Q17" s="3" t="s">
        <v>33</v>
      </c>
      <c r="R17" s="3" t="s">
        <v>33</v>
      </c>
      <c r="S17" s="3" t="s">
        <v>33</v>
      </c>
      <c r="T17" s="3" t="s">
        <v>33</v>
      </c>
      <c r="U17" s="3" t="s">
        <v>77</v>
      </c>
    </row>
    <row r="18">
      <c r="A18" s="2" t="s">
        <v>78</v>
      </c>
      <c r="B18" s="2" t="s">
        <v>50</v>
      </c>
      <c r="C18" s="2" t="s">
        <v>23</v>
      </c>
      <c r="D18" s="2" t="s">
        <v>56</v>
      </c>
      <c r="E18" s="2" t="s">
        <v>25</v>
      </c>
      <c r="F18" s="2" t="s">
        <v>25</v>
      </c>
      <c r="G18" s="2" t="s">
        <v>27</v>
      </c>
      <c r="H18" s="2" t="s">
        <v>57</v>
      </c>
      <c r="I18" s="2" t="s">
        <v>29</v>
      </c>
      <c r="J18" s="2" t="s">
        <v>30</v>
      </c>
      <c r="K18" s="2" t="s">
        <v>31</v>
      </c>
      <c r="L18" s="2" t="s">
        <v>33</v>
      </c>
      <c r="M18" s="2" t="s">
        <v>31</v>
      </c>
      <c r="N18" s="2" t="s">
        <v>31</v>
      </c>
      <c r="O18" s="2" t="s">
        <v>33</v>
      </c>
      <c r="P18" s="2" t="s">
        <v>31</v>
      </c>
      <c r="Q18" s="2" t="s">
        <v>33</v>
      </c>
      <c r="R18" s="2" t="s">
        <v>33</v>
      </c>
      <c r="S18" s="2" t="s">
        <v>33</v>
      </c>
      <c r="T18" s="2" t="s">
        <v>33</v>
      </c>
      <c r="U18" s="2" t="s">
        <v>79</v>
      </c>
    </row>
    <row r="19">
      <c r="A19" s="3" t="s">
        <v>80</v>
      </c>
      <c r="B19" s="3" t="s">
        <v>53</v>
      </c>
      <c r="C19" s="3" t="s">
        <v>23</v>
      </c>
      <c r="D19" s="3" t="s">
        <v>56</v>
      </c>
      <c r="E19" s="3" t="s">
        <v>25</v>
      </c>
      <c r="F19" s="3" t="s">
        <v>25</v>
      </c>
      <c r="G19" s="3" t="s">
        <v>27</v>
      </c>
      <c r="H19" s="3" t="s">
        <v>57</v>
      </c>
      <c r="I19" s="3" t="s">
        <v>29</v>
      </c>
      <c r="J19" s="3" t="s">
        <v>30</v>
      </c>
      <c r="K19" s="3" t="s">
        <v>31</v>
      </c>
      <c r="L19" s="3" t="s">
        <v>33</v>
      </c>
      <c r="M19" s="3" t="s">
        <v>31</v>
      </c>
      <c r="N19" s="3" t="s">
        <v>31</v>
      </c>
      <c r="O19" s="3" t="s">
        <v>33</v>
      </c>
      <c r="P19" s="3" t="s">
        <v>31</v>
      </c>
      <c r="Q19" s="3" t="s">
        <v>33</v>
      </c>
      <c r="R19" s="3" t="s">
        <v>33</v>
      </c>
      <c r="S19" s="3" t="s">
        <v>33</v>
      </c>
      <c r="T19" s="3" t="s">
        <v>33</v>
      </c>
      <c r="U19" s="3" t="s">
        <v>81</v>
      </c>
    </row>
    <row r="20">
      <c r="A20" s="2" t="s">
        <v>82</v>
      </c>
      <c r="B20" s="2" t="s">
        <v>22</v>
      </c>
      <c r="C20" s="2" t="s">
        <v>23</v>
      </c>
      <c r="D20" s="2" t="s">
        <v>56</v>
      </c>
      <c r="E20" s="2" t="s">
        <v>25</v>
      </c>
      <c r="F20" s="2" t="s">
        <v>25</v>
      </c>
      <c r="G20" s="2" t="s">
        <v>27</v>
      </c>
      <c r="H20" s="2" t="s">
        <v>57</v>
      </c>
      <c r="I20" s="2" t="s">
        <v>29</v>
      </c>
      <c r="J20" s="2" t="s">
        <v>30</v>
      </c>
      <c r="K20" s="2" t="s">
        <v>31</v>
      </c>
      <c r="L20" s="2" t="s">
        <v>33</v>
      </c>
      <c r="M20" s="2" t="s">
        <v>31</v>
      </c>
      <c r="N20" s="2" t="s">
        <v>31</v>
      </c>
      <c r="O20" s="2" t="s">
        <v>33</v>
      </c>
      <c r="P20" s="2" t="s">
        <v>31</v>
      </c>
      <c r="Q20" s="2" t="s">
        <v>33</v>
      </c>
      <c r="R20" s="2" t="s">
        <v>33</v>
      </c>
      <c r="S20" s="2" t="s">
        <v>33</v>
      </c>
      <c r="T20" s="2" t="s">
        <v>33</v>
      </c>
      <c r="U20" s="2" t="s">
        <v>83</v>
      </c>
    </row>
    <row r="21" ht="15.75" customHeight="1">
      <c r="A21" s="3" t="s">
        <v>84</v>
      </c>
      <c r="B21" s="3" t="s">
        <v>36</v>
      </c>
      <c r="C21" s="3" t="s">
        <v>23</v>
      </c>
      <c r="D21" s="3" t="s">
        <v>56</v>
      </c>
      <c r="E21" s="3" t="s">
        <v>25</v>
      </c>
      <c r="F21" s="3" t="s">
        <v>25</v>
      </c>
      <c r="G21" s="3" t="s">
        <v>27</v>
      </c>
      <c r="H21" s="3" t="s">
        <v>57</v>
      </c>
      <c r="I21" s="3" t="s">
        <v>29</v>
      </c>
      <c r="J21" s="3" t="s">
        <v>30</v>
      </c>
      <c r="K21" s="3" t="s">
        <v>31</v>
      </c>
      <c r="L21" s="3" t="s">
        <v>33</v>
      </c>
      <c r="M21" s="3" t="s">
        <v>31</v>
      </c>
      <c r="N21" s="3" t="s">
        <v>31</v>
      </c>
      <c r="O21" s="3" t="s">
        <v>33</v>
      </c>
      <c r="P21" s="3" t="s">
        <v>31</v>
      </c>
      <c r="Q21" s="3" t="s">
        <v>33</v>
      </c>
      <c r="R21" s="3" t="s">
        <v>33</v>
      </c>
      <c r="S21" s="3" t="s">
        <v>33</v>
      </c>
      <c r="T21" s="3" t="s">
        <v>33</v>
      </c>
      <c r="U21" s="3" t="s">
        <v>85</v>
      </c>
    </row>
    <row r="22" ht="15.75" customHeight="1">
      <c r="A22" s="2" t="s">
        <v>86</v>
      </c>
      <c r="B22" s="2" t="s">
        <v>40</v>
      </c>
      <c r="C22" s="2" t="s">
        <v>62</v>
      </c>
      <c r="D22" s="2" t="s">
        <v>56</v>
      </c>
      <c r="E22" s="2" t="s">
        <v>25</v>
      </c>
      <c r="F22" s="2" t="s">
        <v>25</v>
      </c>
      <c r="G22" s="2" t="s">
        <v>27</v>
      </c>
      <c r="H22" s="2" t="s">
        <v>57</v>
      </c>
      <c r="I22" s="2" t="s">
        <v>30</v>
      </c>
      <c r="J22" s="2" t="s">
        <v>30</v>
      </c>
      <c r="K22" s="2" t="s">
        <v>31</v>
      </c>
      <c r="L22" s="2" t="s">
        <v>33</v>
      </c>
      <c r="M22" s="2" t="s">
        <v>33</v>
      </c>
      <c r="N22" s="2" t="s">
        <v>31</v>
      </c>
      <c r="O22" s="2" t="s">
        <v>33</v>
      </c>
      <c r="P22" s="2" t="s">
        <v>31</v>
      </c>
      <c r="Q22" s="2" t="s">
        <v>31</v>
      </c>
      <c r="R22" s="2" t="s">
        <v>33</v>
      </c>
      <c r="S22" s="2" t="s">
        <v>33</v>
      </c>
      <c r="T22" s="2" t="s">
        <v>33</v>
      </c>
      <c r="U22" s="2" t="s">
        <v>87</v>
      </c>
    </row>
    <row r="23" ht="15.75" customHeight="1">
      <c r="A23" s="3" t="s">
        <v>88</v>
      </c>
      <c r="B23" s="3" t="s">
        <v>47</v>
      </c>
      <c r="C23" s="3" t="s">
        <v>23</v>
      </c>
      <c r="D23" s="3" t="s">
        <v>56</v>
      </c>
      <c r="E23" s="3" t="s">
        <v>25</v>
      </c>
      <c r="F23" s="3" t="s">
        <v>25</v>
      </c>
      <c r="G23" s="3" t="s">
        <v>27</v>
      </c>
      <c r="H23" s="3" t="s">
        <v>57</v>
      </c>
      <c r="I23" s="3" t="s">
        <v>29</v>
      </c>
      <c r="J23" s="3" t="s">
        <v>30</v>
      </c>
      <c r="K23" s="3" t="s">
        <v>31</v>
      </c>
      <c r="L23" s="3" t="s">
        <v>33</v>
      </c>
      <c r="M23" s="3" t="s">
        <v>31</v>
      </c>
      <c r="N23" s="3" t="s">
        <v>31</v>
      </c>
      <c r="O23" s="3" t="s">
        <v>33</v>
      </c>
      <c r="P23" s="3" t="s">
        <v>31</v>
      </c>
      <c r="Q23" s="3" t="s">
        <v>33</v>
      </c>
      <c r="R23" s="3" t="s">
        <v>33</v>
      </c>
      <c r="S23" s="3" t="s">
        <v>33</v>
      </c>
      <c r="T23" s="3" t="s">
        <v>33</v>
      </c>
      <c r="U23" s="3" t="s">
        <v>89</v>
      </c>
    </row>
    <row r="24" ht="15.75" customHeight="1">
      <c r="A24" s="2" t="s">
        <v>90</v>
      </c>
      <c r="B24" s="2" t="s">
        <v>50</v>
      </c>
      <c r="C24" s="2" t="s">
        <v>23</v>
      </c>
      <c r="D24" s="2" t="s">
        <v>56</v>
      </c>
      <c r="E24" s="2" t="s">
        <v>25</v>
      </c>
      <c r="F24" s="2" t="s">
        <v>25</v>
      </c>
      <c r="G24" s="2" t="s">
        <v>27</v>
      </c>
      <c r="H24" s="2" t="s">
        <v>57</v>
      </c>
      <c r="I24" s="2" t="s">
        <v>29</v>
      </c>
      <c r="J24" s="2" t="s">
        <v>30</v>
      </c>
      <c r="K24" s="2" t="s">
        <v>31</v>
      </c>
      <c r="L24" s="2" t="s">
        <v>33</v>
      </c>
      <c r="M24" s="2" t="s">
        <v>31</v>
      </c>
      <c r="N24" s="2" t="s">
        <v>31</v>
      </c>
      <c r="O24" s="2" t="s">
        <v>33</v>
      </c>
      <c r="P24" s="2" t="s">
        <v>31</v>
      </c>
      <c r="Q24" s="2" t="s">
        <v>33</v>
      </c>
      <c r="R24" s="2" t="s">
        <v>33</v>
      </c>
      <c r="S24" s="2" t="s">
        <v>33</v>
      </c>
      <c r="T24" s="2" t="s">
        <v>33</v>
      </c>
      <c r="U24" s="2" t="s">
        <v>91</v>
      </c>
    </row>
    <row r="25" ht="15.75" customHeight="1">
      <c r="A25" s="3" t="s">
        <v>92</v>
      </c>
      <c r="B25" s="3" t="s">
        <v>53</v>
      </c>
      <c r="C25" s="3" t="s">
        <v>23</v>
      </c>
      <c r="D25" s="3" t="s">
        <v>56</v>
      </c>
      <c r="E25" s="3" t="s">
        <v>25</v>
      </c>
      <c r="F25" s="3" t="s">
        <v>25</v>
      </c>
      <c r="G25" s="3" t="s">
        <v>27</v>
      </c>
      <c r="H25" s="3" t="s">
        <v>57</v>
      </c>
      <c r="I25" s="3" t="s">
        <v>29</v>
      </c>
      <c r="J25" s="3" t="s">
        <v>30</v>
      </c>
      <c r="K25" s="3" t="s">
        <v>31</v>
      </c>
      <c r="L25" s="3" t="s">
        <v>33</v>
      </c>
      <c r="M25" s="3" t="s">
        <v>31</v>
      </c>
      <c r="N25" s="3" t="s">
        <v>31</v>
      </c>
      <c r="O25" s="3" t="s">
        <v>33</v>
      </c>
      <c r="P25" s="3" t="s">
        <v>31</v>
      </c>
      <c r="Q25" s="3" t="s">
        <v>33</v>
      </c>
      <c r="R25" s="3" t="s">
        <v>33</v>
      </c>
      <c r="S25" s="3" t="s">
        <v>33</v>
      </c>
      <c r="T25" s="3" t="s">
        <v>33</v>
      </c>
      <c r="U25" s="3" t="s">
        <v>93</v>
      </c>
    </row>
    <row r="26" ht="15.75" customHeight="1">
      <c r="A26" s="2" t="s">
        <v>94</v>
      </c>
      <c r="B26" s="2" t="s">
        <v>22</v>
      </c>
      <c r="C26" s="2" t="s">
        <v>23</v>
      </c>
      <c r="D26" s="2" t="s">
        <v>56</v>
      </c>
      <c r="E26" s="2" t="s">
        <v>25</v>
      </c>
      <c r="F26" s="2" t="s">
        <v>25</v>
      </c>
      <c r="G26" s="2" t="s">
        <v>27</v>
      </c>
      <c r="H26" s="2" t="s">
        <v>57</v>
      </c>
      <c r="I26" s="2" t="s">
        <v>29</v>
      </c>
      <c r="J26" s="2" t="s">
        <v>30</v>
      </c>
      <c r="K26" s="2" t="s">
        <v>31</v>
      </c>
      <c r="L26" s="2" t="s">
        <v>33</v>
      </c>
      <c r="M26" s="2" t="s">
        <v>31</v>
      </c>
      <c r="N26" s="2" t="s">
        <v>31</v>
      </c>
      <c r="O26" s="2" t="s">
        <v>33</v>
      </c>
      <c r="P26" s="2" t="s">
        <v>31</v>
      </c>
      <c r="Q26" s="2" t="s">
        <v>33</v>
      </c>
      <c r="R26" s="2" t="s">
        <v>33</v>
      </c>
      <c r="S26" s="2" t="s">
        <v>33</v>
      </c>
      <c r="T26" s="2" t="s">
        <v>33</v>
      </c>
      <c r="U26" s="2" t="s">
        <v>95</v>
      </c>
    </row>
    <row r="27" ht="15.75" customHeight="1">
      <c r="A27" s="3" t="s">
        <v>96</v>
      </c>
      <c r="B27" s="3" t="s">
        <v>36</v>
      </c>
      <c r="C27" s="3" t="s">
        <v>23</v>
      </c>
      <c r="D27" s="3" t="s">
        <v>56</v>
      </c>
      <c r="E27" s="3" t="s">
        <v>25</v>
      </c>
      <c r="F27" s="3" t="s">
        <v>25</v>
      </c>
      <c r="G27" s="3" t="s">
        <v>27</v>
      </c>
      <c r="H27" s="3" t="s">
        <v>57</v>
      </c>
      <c r="I27" s="3" t="s">
        <v>29</v>
      </c>
      <c r="J27" s="3" t="s">
        <v>30</v>
      </c>
      <c r="K27" s="3" t="s">
        <v>31</v>
      </c>
      <c r="L27" s="3" t="s">
        <v>33</v>
      </c>
      <c r="M27" s="3" t="s">
        <v>31</v>
      </c>
      <c r="N27" s="3" t="s">
        <v>31</v>
      </c>
      <c r="O27" s="3" t="s">
        <v>33</v>
      </c>
      <c r="P27" s="3" t="s">
        <v>31</v>
      </c>
      <c r="Q27" s="3" t="s">
        <v>33</v>
      </c>
      <c r="R27" s="3" t="s">
        <v>33</v>
      </c>
      <c r="S27" s="3" t="s">
        <v>33</v>
      </c>
      <c r="T27" s="3" t="s">
        <v>33</v>
      </c>
      <c r="U27" s="3" t="s">
        <v>97</v>
      </c>
    </row>
    <row r="28" ht="15.75" customHeight="1">
      <c r="A28" s="2" t="s">
        <v>98</v>
      </c>
      <c r="B28" s="2" t="s">
        <v>40</v>
      </c>
      <c r="C28" s="2" t="s">
        <v>62</v>
      </c>
      <c r="D28" s="2" t="s">
        <v>56</v>
      </c>
      <c r="E28" s="2" t="s">
        <v>25</v>
      </c>
      <c r="F28" s="2" t="s">
        <v>25</v>
      </c>
      <c r="G28" s="2" t="s">
        <v>27</v>
      </c>
      <c r="H28" s="2" t="s">
        <v>57</v>
      </c>
      <c r="I28" s="2" t="s">
        <v>30</v>
      </c>
      <c r="J28" s="2" t="s">
        <v>30</v>
      </c>
      <c r="K28" s="2" t="s">
        <v>31</v>
      </c>
      <c r="L28" s="2" t="s">
        <v>33</v>
      </c>
      <c r="M28" s="2" t="s">
        <v>33</v>
      </c>
      <c r="N28" s="2" t="s">
        <v>31</v>
      </c>
      <c r="O28" s="2" t="s">
        <v>33</v>
      </c>
      <c r="P28" s="2" t="s">
        <v>31</v>
      </c>
      <c r="Q28" s="2" t="s">
        <v>31</v>
      </c>
      <c r="R28" s="2" t="s">
        <v>33</v>
      </c>
      <c r="S28" s="2" t="s">
        <v>33</v>
      </c>
      <c r="T28" s="2" t="s">
        <v>33</v>
      </c>
      <c r="U28" s="2" t="s">
        <v>99</v>
      </c>
    </row>
    <row r="29" ht="15.75" customHeight="1">
      <c r="A29" s="3" t="s">
        <v>100</v>
      </c>
      <c r="B29" s="3" t="s">
        <v>47</v>
      </c>
      <c r="C29" s="3" t="s">
        <v>23</v>
      </c>
      <c r="D29" s="3" t="s">
        <v>56</v>
      </c>
      <c r="E29" s="3" t="s">
        <v>25</v>
      </c>
      <c r="F29" s="3" t="s">
        <v>25</v>
      </c>
      <c r="G29" s="3" t="s">
        <v>27</v>
      </c>
      <c r="H29" s="3" t="s">
        <v>57</v>
      </c>
      <c r="I29" s="3" t="s">
        <v>29</v>
      </c>
      <c r="J29" s="3" t="s">
        <v>30</v>
      </c>
      <c r="K29" s="3" t="s">
        <v>31</v>
      </c>
      <c r="L29" s="3" t="s">
        <v>33</v>
      </c>
      <c r="M29" s="3" t="s">
        <v>31</v>
      </c>
      <c r="N29" s="3" t="s">
        <v>31</v>
      </c>
      <c r="O29" s="3" t="s">
        <v>33</v>
      </c>
      <c r="P29" s="3" t="s">
        <v>31</v>
      </c>
      <c r="Q29" s="3" t="s">
        <v>33</v>
      </c>
      <c r="R29" s="3" t="s">
        <v>33</v>
      </c>
      <c r="S29" s="3" t="s">
        <v>33</v>
      </c>
      <c r="T29" s="3" t="s">
        <v>33</v>
      </c>
      <c r="U29" s="3" t="s">
        <v>101</v>
      </c>
    </row>
    <row r="30" ht="15.75" customHeight="1">
      <c r="A30" s="2" t="s">
        <v>102</v>
      </c>
      <c r="B30" s="2" t="s">
        <v>50</v>
      </c>
      <c r="C30" s="2" t="s">
        <v>23</v>
      </c>
      <c r="D30" s="2" t="s">
        <v>56</v>
      </c>
      <c r="E30" s="2" t="s">
        <v>25</v>
      </c>
      <c r="F30" s="2" t="s">
        <v>25</v>
      </c>
      <c r="G30" s="2" t="s">
        <v>27</v>
      </c>
      <c r="H30" s="2" t="s">
        <v>57</v>
      </c>
      <c r="I30" s="2" t="s">
        <v>29</v>
      </c>
      <c r="J30" s="2" t="s">
        <v>30</v>
      </c>
      <c r="K30" s="2" t="s">
        <v>31</v>
      </c>
      <c r="L30" s="2" t="s">
        <v>33</v>
      </c>
      <c r="M30" s="2" t="s">
        <v>31</v>
      </c>
      <c r="N30" s="2" t="s">
        <v>31</v>
      </c>
      <c r="O30" s="2" t="s">
        <v>33</v>
      </c>
      <c r="P30" s="2" t="s">
        <v>31</v>
      </c>
      <c r="Q30" s="2" t="s">
        <v>33</v>
      </c>
      <c r="R30" s="2" t="s">
        <v>33</v>
      </c>
      <c r="S30" s="2" t="s">
        <v>33</v>
      </c>
      <c r="T30" s="2" t="s">
        <v>33</v>
      </c>
      <c r="U30" s="2" t="s">
        <v>103</v>
      </c>
    </row>
    <row r="31" ht="15.75" customHeight="1">
      <c r="A31" s="3" t="s">
        <v>104</v>
      </c>
      <c r="B31" s="3" t="s">
        <v>53</v>
      </c>
      <c r="C31" s="3" t="s">
        <v>23</v>
      </c>
      <c r="D31" s="3" t="s">
        <v>56</v>
      </c>
      <c r="E31" s="3" t="s">
        <v>25</v>
      </c>
      <c r="F31" s="3" t="s">
        <v>25</v>
      </c>
      <c r="G31" s="3" t="s">
        <v>27</v>
      </c>
      <c r="H31" s="3" t="s">
        <v>57</v>
      </c>
      <c r="I31" s="3" t="s">
        <v>29</v>
      </c>
      <c r="J31" s="3" t="s">
        <v>30</v>
      </c>
      <c r="K31" s="3" t="s">
        <v>31</v>
      </c>
      <c r="L31" s="3" t="s">
        <v>33</v>
      </c>
      <c r="M31" s="3" t="s">
        <v>31</v>
      </c>
      <c r="N31" s="3" t="s">
        <v>31</v>
      </c>
      <c r="O31" s="3" t="s">
        <v>33</v>
      </c>
      <c r="P31" s="3" t="s">
        <v>31</v>
      </c>
      <c r="Q31" s="3" t="s">
        <v>33</v>
      </c>
      <c r="R31" s="3" t="s">
        <v>33</v>
      </c>
      <c r="S31" s="3" t="s">
        <v>33</v>
      </c>
      <c r="T31" s="3" t="s">
        <v>33</v>
      </c>
      <c r="U31" s="3" t="s">
        <v>105</v>
      </c>
    </row>
    <row r="32" ht="15.75" customHeight="1">
      <c r="A32" s="2" t="s">
        <v>106</v>
      </c>
      <c r="B32" s="2" t="s">
        <v>22</v>
      </c>
      <c r="C32" s="2" t="s">
        <v>23</v>
      </c>
      <c r="D32" s="2" t="s">
        <v>56</v>
      </c>
      <c r="E32" s="2" t="s">
        <v>25</v>
      </c>
      <c r="F32" s="2" t="s">
        <v>25</v>
      </c>
      <c r="G32" s="2" t="s">
        <v>27</v>
      </c>
      <c r="H32" s="2" t="s">
        <v>57</v>
      </c>
      <c r="I32" s="2" t="s">
        <v>29</v>
      </c>
      <c r="J32" s="2" t="s">
        <v>30</v>
      </c>
      <c r="K32" s="2" t="s">
        <v>31</v>
      </c>
      <c r="L32" s="2" t="s">
        <v>33</v>
      </c>
      <c r="M32" s="2" t="s">
        <v>31</v>
      </c>
      <c r="N32" s="2" t="s">
        <v>31</v>
      </c>
      <c r="O32" s="2" t="s">
        <v>33</v>
      </c>
      <c r="P32" s="2" t="s">
        <v>31</v>
      </c>
      <c r="Q32" s="2" t="s">
        <v>33</v>
      </c>
      <c r="R32" s="2" t="s">
        <v>33</v>
      </c>
      <c r="S32" s="2" t="s">
        <v>33</v>
      </c>
      <c r="T32" s="2" t="s">
        <v>33</v>
      </c>
      <c r="U32" s="2" t="s">
        <v>107</v>
      </c>
    </row>
    <row r="33" ht="15.75" customHeight="1">
      <c r="A33" s="3" t="s">
        <v>108</v>
      </c>
      <c r="B33" s="3" t="s">
        <v>36</v>
      </c>
      <c r="C33" s="3" t="s">
        <v>23</v>
      </c>
      <c r="D33" s="3" t="s">
        <v>56</v>
      </c>
      <c r="E33" s="3" t="s">
        <v>25</v>
      </c>
      <c r="F33" s="3" t="s">
        <v>25</v>
      </c>
      <c r="G33" s="3" t="s">
        <v>27</v>
      </c>
      <c r="H33" s="3" t="s">
        <v>57</v>
      </c>
      <c r="I33" s="3" t="s">
        <v>29</v>
      </c>
      <c r="J33" s="3" t="s">
        <v>30</v>
      </c>
      <c r="K33" s="3" t="s">
        <v>31</v>
      </c>
      <c r="L33" s="3" t="s">
        <v>33</v>
      </c>
      <c r="M33" s="3" t="s">
        <v>31</v>
      </c>
      <c r="N33" s="3" t="s">
        <v>31</v>
      </c>
      <c r="O33" s="3" t="s">
        <v>33</v>
      </c>
      <c r="P33" s="3" t="s">
        <v>31</v>
      </c>
      <c r="Q33" s="3" t="s">
        <v>33</v>
      </c>
      <c r="R33" s="3" t="s">
        <v>33</v>
      </c>
      <c r="S33" s="3" t="s">
        <v>33</v>
      </c>
      <c r="T33" s="3" t="s">
        <v>33</v>
      </c>
      <c r="U33" s="3" t="s">
        <v>109</v>
      </c>
    </row>
    <row r="34" ht="15.75" customHeight="1">
      <c r="A34" s="2" t="s">
        <v>110</v>
      </c>
      <c r="B34" s="2" t="s">
        <v>40</v>
      </c>
      <c r="C34" s="2" t="s">
        <v>62</v>
      </c>
      <c r="D34" s="2" t="s">
        <v>56</v>
      </c>
      <c r="E34" s="2" t="s">
        <v>25</v>
      </c>
      <c r="F34" s="2" t="s">
        <v>25</v>
      </c>
      <c r="G34" s="2" t="s">
        <v>27</v>
      </c>
      <c r="H34" s="2" t="s">
        <v>57</v>
      </c>
      <c r="I34" s="2" t="s">
        <v>30</v>
      </c>
      <c r="J34" s="2" t="s">
        <v>30</v>
      </c>
      <c r="K34" s="2" t="s">
        <v>31</v>
      </c>
      <c r="L34" s="2" t="s">
        <v>33</v>
      </c>
      <c r="M34" s="2" t="s">
        <v>33</v>
      </c>
      <c r="N34" s="2" t="s">
        <v>31</v>
      </c>
      <c r="O34" s="2" t="s">
        <v>33</v>
      </c>
      <c r="P34" s="2" t="s">
        <v>31</v>
      </c>
      <c r="Q34" s="2" t="s">
        <v>31</v>
      </c>
      <c r="R34" s="2" t="s">
        <v>33</v>
      </c>
      <c r="S34" s="2" t="s">
        <v>33</v>
      </c>
      <c r="T34" s="2" t="s">
        <v>33</v>
      </c>
      <c r="U34" s="2" t="s">
        <v>111</v>
      </c>
    </row>
    <row r="35" ht="15.75" customHeight="1">
      <c r="A35" s="3" t="s">
        <v>112</v>
      </c>
      <c r="B35" s="3" t="s">
        <v>47</v>
      </c>
      <c r="C35" s="3" t="s">
        <v>23</v>
      </c>
      <c r="D35" s="3" t="s">
        <v>56</v>
      </c>
      <c r="E35" s="3" t="s">
        <v>25</v>
      </c>
      <c r="F35" s="3" t="s">
        <v>25</v>
      </c>
      <c r="G35" s="3" t="s">
        <v>27</v>
      </c>
      <c r="H35" s="3" t="s">
        <v>57</v>
      </c>
      <c r="I35" s="3" t="s">
        <v>29</v>
      </c>
      <c r="J35" s="3" t="s">
        <v>30</v>
      </c>
      <c r="K35" s="3" t="s">
        <v>31</v>
      </c>
      <c r="L35" s="3" t="s">
        <v>33</v>
      </c>
      <c r="M35" s="3" t="s">
        <v>31</v>
      </c>
      <c r="N35" s="3" t="s">
        <v>31</v>
      </c>
      <c r="O35" s="3" t="s">
        <v>33</v>
      </c>
      <c r="P35" s="3" t="s">
        <v>31</v>
      </c>
      <c r="Q35" s="3" t="s">
        <v>33</v>
      </c>
      <c r="R35" s="3" t="s">
        <v>33</v>
      </c>
      <c r="S35" s="3" t="s">
        <v>33</v>
      </c>
      <c r="T35" s="3" t="s">
        <v>33</v>
      </c>
      <c r="U35" s="3" t="s">
        <v>113</v>
      </c>
    </row>
    <row r="36" ht="15.75" customHeight="1">
      <c r="A36" s="2" t="s">
        <v>114</v>
      </c>
      <c r="B36" s="2" t="s">
        <v>50</v>
      </c>
      <c r="C36" s="2" t="s">
        <v>23</v>
      </c>
      <c r="D36" s="2" t="s">
        <v>56</v>
      </c>
      <c r="E36" s="2" t="s">
        <v>25</v>
      </c>
      <c r="F36" s="2" t="s">
        <v>25</v>
      </c>
      <c r="G36" s="2" t="s">
        <v>27</v>
      </c>
      <c r="H36" s="2" t="s">
        <v>57</v>
      </c>
      <c r="I36" s="2" t="s">
        <v>29</v>
      </c>
      <c r="J36" s="2" t="s">
        <v>30</v>
      </c>
      <c r="K36" s="2" t="s">
        <v>31</v>
      </c>
      <c r="L36" s="2" t="s">
        <v>33</v>
      </c>
      <c r="M36" s="2" t="s">
        <v>31</v>
      </c>
      <c r="N36" s="2" t="s">
        <v>31</v>
      </c>
      <c r="O36" s="2" t="s">
        <v>33</v>
      </c>
      <c r="P36" s="2" t="s">
        <v>31</v>
      </c>
      <c r="Q36" s="2" t="s">
        <v>33</v>
      </c>
      <c r="R36" s="2" t="s">
        <v>33</v>
      </c>
      <c r="S36" s="2" t="s">
        <v>33</v>
      </c>
      <c r="T36" s="2" t="s">
        <v>33</v>
      </c>
      <c r="U36" s="2" t="s">
        <v>115</v>
      </c>
    </row>
    <row r="37" ht="15.75" customHeight="1">
      <c r="A37" s="3" t="s">
        <v>116</v>
      </c>
      <c r="B37" s="3" t="s">
        <v>53</v>
      </c>
      <c r="C37" s="3" t="s">
        <v>23</v>
      </c>
      <c r="D37" s="3" t="s">
        <v>56</v>
      </c>
      <c r="E37" s="3" t="s">
        <v>25</v>
      </c>
      <c r="F37" s="3" t="s">
        <v>25</v>
      </c>
      <c r="G37" s="3" t="s">
        <v>27</v>
      </c>
      <c r="H37" s="3" t="s">
        <v>57</v>
      </c>
      <c r="I37" s="3" t="s">
        <v>29</v>
      </c>
      <c r="J37" s="3" t="s">
        <v>30</v>
      </c>
      <c r="K37" s="3" t="s">
        <v>31</v>
      </c>
      <c r="L37" s="3" t="s">
        <v>33</v>
      </c>
      <c r="M37" s="3" t="s">
        <v>31</v>
      </c>
      <c r="N37" s="3" t="s">
        <v>31</v>
      </c>
      <c r="O37" s="3" t="s">
        <v>33</v>
      </c>
      <c r="P37" s="3" t="s">
        <v>31</v>
      </c>
      <c r="Q37" s="3" t="s">
        <v>33</v>
      </c>
      <c r="R37" s="3" t="s">
        <v>33</v>
      </c>
      <c r="S37" s="3" t="s">
        <v>33</v>
      </c>
      <c r="T37" s="3" t="s">
        <v>33</v>
      </c>
      <c r="U37" s="3" t="s">
        <v>117</v>
      </c>
    </row>
    <row r="38" ht="15.75" customHeight="1">
      <c r="A38" s="2" t="s">
        <v>118</v>
      </c>
      <c r="B38" s="2" t="s">
        <v>22</v>
      </c>
      <c r="C38" s="2" t="s">
        <v>23</v>
      </c>
      <c r="D38" s="2" t="s">
        <v>56</v>
      </c>
      <c r="E38" s="2" t="s">
        <v>25</v>
      </c>
      <c r="F38" s="2" t="s">
        <v>25</v>
      </c>
      <c r="G38" s="2" t="s">
        <v>27</v>
      </c>
      <c r="H38" s="2" t="s">
        <v>57</v>
      </c>
      <c r="I38" s="2" t="s">
        <v>29</v>
      </c>
      <c r="J38" s="2" t="s">
        <v>30</v>
      </c>
      <c r="K38" s="2" t="s">
        <v>31</v>
      </c>
      <c r="L38" s="2" t="s">
        <v>33</v>
      </c>
      <c r="M38" s="2" t="s">
        <v>31</v>
      </c>
      <c r="N38" s="2" t="s">
        <v>31</v>
      </c>
      <c r="O38" s="2" t="s">
        <v>33</v>
      </c>
      <c r="P38" s="2" t="s">
        <v>31</v>
      </c>
      <c r="Q38" s="2" t="s">
        <v>33</v>
      </c>
      <c r="R38" s="2" t="s">
        <v>33</v>
      </c>
      <c r="S38" s="2" t="s">
        <v>33</v>
      </c>
      <c r="T38" s="2" t="s">
        <v>33</v>
      </c>
      <c r="U38" s="2" t="s">
        <v>119</v>
      </c>
    </row>
    <row r="39" ht="15.75" customHeight="1">
      <c r="A39" s="3" t="s">
        <v>120</v>
      </c>
      <c r="B39" s="3" t="s">
        <v>36</v>
      </c>
      <c r="C39" s="3" t="s">
        <v>23</v>
      </c>
      <c r="D39" s="3" t="s">
        <v>56</v>
      </c>
      <c r="E39" s="3" t="s">
        <v>25</v>
      </c>
      <c r="F39" s="3" t="s">
        <v>25</v>
      </c>
      <c r="G39" s="3" t="s">
        <v>27</v>
      </c>
      <c r="H39" s="3" t="s">
        <v>57</v>
      </c>
      <c r="I39" s="3" t="s">
        <v>29</v>
      </c>
      <c r="J39" s="3" t="s">
        <v>30</v>
      </c>
      <c r="K39" s="3" t="s">
        <v>31</v>
      </c>
      <c r="L39" s="3" t="s">
        <v>33</v>
      </c>
      <c r="M39" s="3" t="s">
        <v>31</v>
      </c>
      <c r="N39" s="3" t="s">
        <v>31</v>
      </c>
      <c r="O39" s="3" t="s">
        <v>33</v>
      </c>
      <c r="P39" s="3" t="s">
        <v>31</v>
      </c>
      <c r="Q39" s="3" t="s">
        <v>33</v>
      </c>
      <c r="R39" s="3" t="s">
        <v>33</v>
      </c>
      <c r="S39" s="3" t="s">
        <v>33</v>
      </c>
      <c r="T39" s="3" t="s">
        <v>33</v>
      </c>
      <c r="U39" s="3" t="s">
        <v>121</v>
      </c>
    </row>
    <row r="40" ht="15.75" customHeight="1">
      <c r="A40" s="2" t="s">
        <v>122</v>
      </c>
      <c r="B40" s="2" t="s">
        <v>40</v>
      </c>
      <c r="C40" s="2" t="s">
        <v>62</v>
      </c>
      <c r="D40" s="2" t="s">
        <v>56</v>
      </c>
      <c r="E40" s="2" t="s">
        <v>25</v>
      </c>
      <c r="F40" s="2" t="s">
        <v>25</v>
      </c>
      <c r="G40" s="2" t="s">
        <v>27</v>
      </c>
      <c r="H40" s="2" t="s">
        <v>57</v>
      </c>
      <c r="I40" s="2" t="s">
        <v>30</v>
      </c>
      <c r="J40" s="2" t="s">
        <v>30</v>
      </c>
      <c r="K40" s="2" t="s">
        <v>31</v>
      </c>
      <c r="L40" s="2" t="s">
        <v>33</v>
      </c>
      <c r="M40" s="2" t="s">
        <v>33</v>
      </c>
      <c r="N40" s="2" t="s">
        <v>31</v>
      </c>
      <c r="O40" s="2" t="s">
        <v>33</v>
      </c>
      <c r="P40" s="2" t="s">
        <v>31</v>
      </c>
      <c r="Q40" s="2" t="s">
        <v>31</v>
      </c>
      <c r="R40" s="2" t="s">
        <v>33</v>
      </c>
      <c r="S40" s="2" t="s">
        <v>33</v>
      </c>
      <c r="T40" s="2" t="s">
        <v>33</v>
      </c>
      <c r="U40" s="2" t="s">
        <v>123</v>
      </c>
    </row>
    <row r="41" ht="15.75" customHeight="1">
      <c r="A41" s="3" t="s">
        <v>124</v>
      </c>
      <c r="B41" s="3" t="s">
        <v>47</v>
      </c>
      <c r="C41" s="3" t="s">
        <v>23</v>
      </c>
      <c r="D41" s="3" t="s">
        <v>56</v>
      </c>
      <c r="E41" s="3" t="s">
        <v>25</v>
      </c>
      <c r="F41" s="3" t="s">
        <v>25</v>
      </c>
      <c r="G41" s="3" t="s">
        <v>27</v>
      </c>
      <c r="H41" s="3" t="s">
        <v>57</v>
      </c>
      <c r="I41" s="3" t="s">
        <v>29</v>
      </c>
      <c r="J41" s="3" t="s">
        <v>30</v>
      </c>
      <c r="K41" s="3" t="s">
        <v>31</v>
      </c>
      <c r="L41" s="3" t="s">
        <v>33</v>
      </c>
      <c r="M41" s="3" t="s">
        <v>31</v>
      </c>
      <c r="N41" s="3" t="s">
        <v>31</v>
      </c>
      <c r="O41" s="3" t="s">
        <v>33</v>
      </c>
      <c r="P41" s="3" t="s">
        <v>31</v>
      </c>
      <c r="Q41" s="3" t="s">
        <v>33</v>
      </c>
      <c r="R41" s="3" t="s">
        <v>33</v>
      </c>
      <c r="S41" s="3" t="s">
        <v>33</v>
      </c>
      <c r="T41" s="3" t="s">
        <v>33</v>
      </c>
      <c r="U41" s="3" t="s">
        <v>125</v>
      </c>
    </row>
    <row r="42" ht="15.75" customHeight="1">
      <c r="A42" s="2" t="s">
        <v>126</v>
      </c>
      <c r="B42" s="2" t="s">
        <v>50</v>
      </c>
      <c r="C42" s="2" t="s">
        <v>23</v>
      </c>
      <c r="D42" s="2" t="s">
        <v>56</v>
      </c>
      <c r="E42" s="2" t="s">
        <v>25</v>
      </c>
      <c r="F42" s="2" t="s">
        <v>25</v>
      </c>
      <c r="G42" s="2" t="s">
        <v>27</v>
      </c>
      <c r="H42" s="2" t="s">
        <v>57</v>
      </c>
      <c r="I42" s="2" t="s">
        <v>29</v>
      </c>
      <c r="J42" s="2" t="s">
        <v>30</v>
      </c>
      <c r="K42" s="2" t="s">
        <v>31</v>
      </c>
      <c r="L42" s="2" t="s">
        <v>33</v>
      </c>
      <c r="M42" s="2" t="s">
        <v>31</v>
      </c>
      <c r="N42" s="2" t="s">
        <v>31</v>
      </c>
      <c r="O42" s="2" t="s">
        <v>33</v>
      </c>
      <c r="P42" s="2" t="s">
        <v>31</v>
      </c>
      <c r="Q42" s="2" t="s">
        <v>33</v>
      </c>
      <c r="R42" s="2" t="s">
        <v>33</v>
      </c>
      <c r="S42" s="2" t="s">
        <v>33</v>
      </c>
      <c r="T42" s="2" t="s">
        <v>33</v>
      </c>
      <c r="U42" s="2" t="s">
        <v>127</v>
      </c>
    </row>
    <row r="43" ht="15.75" customHeight="1">
      <c r="A43" s="3" t="s">
        <v>128</v>
      </c>
      <c r="B43" s="3" t="s">
        <v>53</v>
      </c>
      <c r="C43" s="3" t="s">
        <v>23</v>
      </c>
      <c r="D43" s="3" t="s">
        <v>56</v>
      </c>
      <c r="E43" s="3" t="s">
        <v>25</v>
      </c>
      <c r="F43" s="3" t="s">
        <v>25</v>
      </c>
      <c r="G43" s="3" t="s">
        <v>27</v>
      </c>
      <c r="H43" s="3" t="s">
        <v>57</v>
      </c>
      <c r="I43" s="3" t="s">
        <v>29</v>
      </c>
      <c r="J43" s="3" t="s">
        <v>30</v>
      </c>
      <c r="K43" s="3" t="s">
        <v>31</v>
      </c>
      <c r="L43" s="3" t="s">
        <v>33</v>
      </c>
      <c r="M43" s="3" t="s">
        <v>31</v>
      </c>
      <c r="N43" s="3" t="s">
        <v>31</v>
      </c>
      <c r="O43" s="3" t="s">
        <v>33</v>
      </c>
      <c r="P43" s="3" t="s">
        <v>31</v>
      </c>
      <c r="Q43" s="3" t="s">
        <v>33</v>
      </c>
      <c r="R43" s="3" t="s">
        <v>33</v>
      </c>
      <c r="S43" s="3" t="s">
        <v>33</v>
      </c>
      <c r="T43" s="3" t="s">
        <v>33</v>
      </c>
      <c r="U43" s="3" t="s">
        <v>129</v>
      </c>
    </row>
    <row r="44" ht="15.75" customHeight="1">
      <c r="A44" s="2" t="s">
        <v>130</v>
      </c>
      <c r="B44" s="2" t="s">
        <v>22</v>
      </c>
      <c r="C44" s="2" t="s">
        <v>23</v>
      </c>
      <c r="D44" s="2" t="s">
        <v>56</v>
      </c>
      <c r="E44" s="2" t="s">
        <v>25</v>
      </c>
      <c r="F44" s="2" t="s">
        <v>25</v>
      </c>
      <c r="G44" s="2" t="s">
        <v>27</v>
      </c>
      <c r="H44" s="2" t="s">
        <v>57</v>
      </c>
      <c r="I44" s="2" t="s">
        <v>29</v>
      </c>
      <c r="J44" s="2" t="s">
        <v>30</v>
      </c>
      <c r="K44" s="2" t="s">
        <v>31</v>
      </c>
      <c r="L44" s="2" t="s">
        <v>33</v>
      </c>
      <c r="M44" s="2" t="s">
        <v>31</v>
      </c>
      <c r="N44" s="2" t="s">
        <v>31</v>
      </c>
      <c r="O44" s="2" t="s">
        <v>33</v>
      </c>
      <c r="P44" s="2" t="s">
        <v>31</v>
      </c>
      <c r="Q44" s="2" t="s">
        <v>33</v>
      </c>
      <c r="R44" s="2" t="s">
        <v>33</v>
      </c>
      <c r="S44" s="2" t="s">
        <v>33</v>
      </c>
      <c r="T44" s="2" t="s">
        <v>33</v>
      </c>
      <c r="U44" s="2" t="s">
        <v>131</v>
      </c>
    </row>
    <row r="45" ht="15.75" customHeight="1">
      <c r="A45" s="3" t="s">
        <v>132</v>
      </c>
      <c r="B45" s="3" t="s">
        <v>36</v>
      </c>
      <c r="C45" s="3" t="s">
        <v>23</v>
      </c>
      <c r="D45" s="3" t="s">
        <v>56</v>
      </c>
      <c r="E45" s="3" t="s">
        <v>25</v>
      </c>
      <c r="F45" s="3" t="s">
        <v>25</v>
      </c>
      <c r="G45" s="3" t="s">
        <v>27</v>
      </c>
      <c r="H45" s="3" t="s">
        <v>57</v>
      </c>
      <c r="I45" s="3" t="s">
        <v>29</v>
      </c>
      <c r="J45" s="3" t="s">
        <v>30</v>
      </c>
      <c r="K45" s="3" t="s">
        <v>31</v>
      </c>
      <c r="L45" s="3" t="s">
        <v>33</v>
      </c>
      <c r="M45" s="3" t="s">
        <v>31</v>
      </c>
      <c r="N45" s="3" t="s">
        <v>31</v>
      </c>
      <c r="O45" s="3" t="s">
        <v>33</v>
      </c>
      <c r="P45" s="3" t="s">
        <v>31</v>
      </c>
      <c r="Q45" s="3" t="s">
        <v>33</v>
      </c>
      <c r="R45" s="3" t="s">
        <v>33</v>
      </c>
      <c r="S45" s="3" t="s">
        <v>33</v>
      </c>
      <c r="T45" s="3" t="s">
        <v>33</v>
      </c>
      <c r="U45" s="3" t="s">
        <v>133</v>
      </c>
    </row>
    <row r="46" ht="15.75" customHeight="1">
      <c r="A46" s="2" t="s">
        <v>134</v>
      </c>
      <c r="B46" s="2" t="s">
        <v>40</v>
      </c>
      <c r="C46" s="2" t="s">
        <v>62</v>
      </c>
      <c r="D46" s="2" t="s">
        <v>56</v>
      </c>
      <c r="E46" s="2" t="s">
        <v>25</v>
      </c>
      <c r="F46" s="2" t="s">
        <v>25</v>
      </c>
      <c r="G46" s="2" t="s">
        <v>27</v>
      </c>
      <c r="H46" s="2" t="s">
        <v>57</v>
      </c>
      <c r="I46" s="2" t="s">
        <v>30</v>
      </c>
      <c r="J46" s="2" t="s">
        <v>30</v>
      </c>
      <c r="K46" s="2" t="s">
        <v>31</v>
      </c>
      <c r="L46" s="2" t="s">
        <v>33</v>
      </c>
      <c r="M46" s="2" t="s">
        <v>33</v>
      </c>
      <c r="N46" s="2" t="s">
        <v>31</v>
      </c>
      <c r="O46" s="2" t="s">
        <v>33</v>
      </c>
      <c r="P46" s="2" t="s">
        <v>31</v>
      </c>
      <c r="Q46" s="2" t="s">
        <v>31</v>
      </c>
      <c r="R46" s="2" t="s">
        <v>33</v>
      </c>
      <c r="S46" s="2" t="s">
        <v>33</v>
      </c>
      <c r="T46" s="2" t="s">
        <v>33</v>
      </c>
      <c r="U46" s="2" t="s">
        <v>135</v>
      </c>
    </row>
    <row r="47" ht="15.75" customHeight="1">
      <c r="A47" s="3" t="s">
        <v>136</v>
      </c>
      <c r="B47" s="3" t="s">
        <v>47</v>
      </c>
      <c r="C47" s="3" t="s">
        <v>23</v>
      </c>
      <c r="D47" s="3" t="s">
        <v>56</v>
      </c>
      <c r="E47" s="3" t="s">
        <v>25</v>
      </c>
      <c r="F47" s="3" t="s">
        <v>25</v>
      </c>
      <c r="G47" s="3" t="s">
        <v>27</v>
      </c>
      <c r="H47" s="3" t="s">
        <v>57</v>
      </c>
      <c r="I47" s="3" t="s">
        <v>29</v>
      </c>
      <c r="J47" s="3" t="s">
        <v>30</v>
      </c>
      <c r="K47" s="3" t="s">
        <v>31</v>
      </c>
      <c r="L47" s="3" t="s">
        <v>33</v>
      </c>
      <c r="M47" s="3" t="s">
        <v>31</v>
      </c>
      <c r="N47" s="3" t="s">
        <v>31</v>
      </c>
      <c r="O47" s="3" t="s">
        <v>33</v>
      </c>
      <c r="P47" s="3" t="s">
        <v>31</v>
      </c>
      <c r="Q47" s="3" t="s">
        <v>33</v>
      </c>
      <c r="R47" s="3" t="s">
        <v>33</v>
      </c>
      <c r="S47" s="3" t="s">
        <v>33</v>
      </c>
      <c r="T47" s="3" t="s">
        <v>33</v>
      </c>
      <c r="U47" s="3" t="s">
        <v>137</v>
      </c>
    </row>
    <row r="48" ht="15.75" customHeight="1">
      <c r="A48" s="2" t="s">
        <v>138</v>
      </c>
      <c r="B48" s="2" t="s">
        <v>50</v>
      </c>
      <c r="C48" s="2" t="s">
        <v>23</v>
      </c>
      <c r="D48" s="2" t="s">
        <v>56</v>
      </c>
      <c r="E48" s="2" t="s">
        <v>25</v>
      </c>
      <c r="F48" s="2" t="s">
        <v>25</v>
      </c>
      <c r="G48" s="2" t="s">
        <v>27</v>
      </c>
      <c r="H48" s="2" t="s">
        <v>57</v>
      </c>
      <c r="I48" s="2" t="s">
        <v>29</v>
      </c>
      <c r="J48" s="2" t="s">
        <v>30</v>
      </c>
      <c r="K48" s="2" t="s">
        <v>31</v>
      </c>
      <c r="L48" s="2" t="s">
        <v>33</v>
      </c>
      <c r="M48" s="2" t="s">
        <v>31</v>
      </c>
      <c r="N48" s="2" t="s">
        <v>31</v>
      </c>
      <c r="O48" s="2" t="s">
        <v>33</v>
      </c>
      <c r="P48" s="2" t="s">
        <v>31</v>
      </c>
      <c r="Q48" s="2" t="s">
        <v>33</v>
      </c>
      <c r="R48" s="2" t="s">
        <v>33</v>
      </c>
      <c r="S48" s="2" t="s">
        <v>33</v>
      </c>
      <c r="T48" s="2" t="s">
        <v>33</v>
      </c>
      <c r="U48" s="2" t="s">
        <v>139</v>
      </c>
    </row>
    <row r="49" ht="15.75" customHeight="1">
      <c r="A49" s="3" t="s">
        <v>140</v>
      </c>
      <c r="B49" s="3" t="s">
        <v>53</v>
      </c>
      <c r="C49" s="3" t="s">
        <v>23</v>
      </c>
      <c r="D49" s="3" t="s">
        <v>56</v>
      </c>
      <c r="E49" s="3" t="s">
        <v>25</v>
      </c>
      <c r="F49" s="3" t="s">
        <v>25</v>
      </c>
      <c r="G49" s="3" t="s">
        <v>27</v>
      </c>
      <c r="H49" s="3" t="s">
        <v>57</v>
      </c>
      <c r="I49" s="3" t="s">
        <v>29</v>
      </c>
      <c r="J49" s="3" t="s">
        <v>30</v>
      </c>
      <c r="K49" s="3" t="s">
        <v>31</v>
      </c>
      <c r="L49" s="3" t="s">
        <v>33</v>
      </c>
      <c r="M49" s="3" t="s">
        <v>31</v>
      </c>
      <c r="N49" s="3" t="s">
        <v>31</v>
      </c>
      <c r="O49" s="3" t="s">
        <v>33</v>
      </c>
      <c r="P49" s="3" t="s">
        <v>31</v>
      </c>
      <c r="Q49" s="3" t="s">
        <v>33</v>
      </c>
      <c r="R49" s="3" t="s">
        <v>33</v>
      </c>
      <c r="S49" s="3" t="s">
        <v>33</v>
      </c>
      <c r="T49" s="3" t="s">
        <v>33</v>
      </c>
      <c r="U49" s="3" t="s">
        <v>141</v>
      </c>
    </row>
    <row r="50" ht="15.75" customHeight="1">
      <c r="A50" s="2" t="s">
        <v>142</v>
      </c>
      <c r="B50" s="2" t="s">
        <v>22</v>
      </c>
      <c r="C50" s="2" t="s">
        <v>23</v>
      </c>
      <c r="D50" s="2" t="s">
        <v>56</v>
      </c>
      <c r="E50" s="2" t="s">
        <v>25</v>
      </c>
      <c r="F50" s="2" t="s">
        <v>25</v>
      </c>
      <c r="G50" s="2" t="s">
        <v>27</v>
      </c>
      <c r="H50" s="2" t="s">
        <v>57</v>
      </c>
      <c r="I50" s="2" t="s">
        <v>29</v>
      </c>
      <c r="J50" s="2" t="s">
        <v>30</v>
      </c>
      <c r="K50" s="2" t="s">
        <v>31</v>
      </c>
      <c r="L50" s="2" t="s">
        <v>33</v>
      </c>
      <c r="M50" s="2" t="s">
        <v>31</v>
      </c>
      <c r="N50" s="2" t="s">
        <v>31</v>
      </c>
      <c r="O50" s="2" t="s">
        <v>33</v>
      </c>
      <c r="P50" s="2" t="s">
        <v>31</v>
      </c>
      <c r="Q50" s="2" t="s">
        <v>33</v>
      </c>
      <c r="R50" s="2" t="s">
        <v>33</v>
      </c>
      <c r="S50" s="2" t="s">
        <v>33</v>
      </c>
      <c r="T50" s="2" t="s">
        <v>33</v>
      </c>
      <c r="U50" s="2" t="s">
        <v>143</v>
      </c>
    </row>
    <row r="51" ht="15.75" customHeight="1">
      <c r="A51" s="3" t="s">
        <v>144</v>
      </c>
      <c r="B51" s="3" t="s">
        <v>36</v>
      </c>
      <c r="C51" s="3" t="s">
        <v>23</v>
      </c>
      <c r="D51" s="3" t="s">
        <v>56</v>
      </c>
      <c r="E51" s="3" t="s">
        <v>25</v>
      </c>
      <c r="F51" s="3" t="s">
        <v>25</v>
      </c>
      <c r="G51" s="3" t="s">
        <v>27</v>
      </c>
      <c r="H51" s="3" t="s">
        <v>57</v>
      </c>
      <c r="I51" s="3" t="s">
        <v>29</v>
      </c>
      <c r="J51" s="3" t="s">
        <v>30</v>
      </c>
      <c r="K51" s="3" t="s">
        <v>31</v>
      </c>
      <c r="L51" s="3" t="s">
        <v>33</v>
      </c>
      <c r="M51" s="3" t="s">
        <v>31</v>
      </c>
      <c r="N51" s="3" t="s">
        <v>31</v>
      </c>
      <c r="O51" s="3" t="s">
        <v>33</v>
      </c>
      <c r="P51" s="3" t="s">
        <v>31</v>
      </c>
      <c r="Q51" s="3" t="s">
        <v>33</v>
      </c>
      <c r="R51" s="3" t="s">
        <v>33</v>
      </c>
      <c r="S51" s="3" t="s">
        <v>33</v>
      </c>
      <c r="T51" s="3" t="s">
        <v>33</v>
      </c>
      <c r="U51" s="3" t="s">
        <v>145</v>
      </c>
    </row>
    <row r="52" ht="15.75" customHeight="1">
      <c r="A52" s="2" t="s">
        <v>146</v>
      </c>
      <c r="B52" s="2" t="s">
        <v>40</v>
      </c>
      <c r="C52" s="2" t="s">
        <v>62</v>
      </c>
      <c r="D52" s="2" t="s">
        <v>56</v>
      </c>
      <c r="E52" s="2" t="s">
        <v>25</v>
      </c>
      <c r="F52" s="2" t="s">
        <v>25</v>
      </c>
      <c r="G52" s="2" t="s">
        <v>27</v>
      </c>
      <c r="H52" s="2" t="s">
        <v>57</v>
      </c>
      <c r="I52" s="2" t="s">
        <v>30</v>
      </c>
      <c r="J52" s="2" t="s">
        <v>30</v>
      </c>
      <c r="K52" s="2" t="s">
        <v>31</v>
      </c>
      <c r="L52" s="2" t="s">
        <v>33</v>
      </c>
      <c r="M52" s="2" t="s">
        <v>33</v>
      </c>
      <c r="N52" s="2" t="s">
        <v>31</v>
      </c>
      <c r="O52" s="2" t="s">
        <v>33</v>
      </c>
      <c r="P52" s="2" t="s">
        <v>31</v>
      </c>
      <c r="Q52" s="2" t="s">
        <v>31</v>
      </c>
      <c r="R52" s="2" t="s">
        <v>33</v>
      </c>
      <c r="S52" s="2" t="s">
        <v>33</v>
      </c>
      <c r="T52" s="2" t="s">
        <v>33</v>
      </c>
      <c r="U52" s="2" t="s">
        <v>147</v>
      </c>
    </row>
    <row r="53" ht="15.75" customHeight="1">
      <c r="A53" s="3" t="s">
        <v>148</v>
      </c>
      <c r="B53" s="3" t="s">
        <v>47</v>
      </c>
      <c r="C53" s="3" t="s">
        <v>23</v>
      </c>
      <c r="D53" s="3" t="s">
        <v>56</v>
      </c>
      <c r="E53" s="3" t="s">
        <v>25</v>
      </c>
      <c r="F53" s="3" t="s">
        <v>25</v>
      </c>
      <c r="G53" s="3" t="s">
        <v>27</v>
      </c>
      <c r="H53" s="3" t="s">
        <v>57</v>
      </c>
      <c r="I53" s="3" t="s">
        <v>29</v>
      </c>
      <c r="J53" s="3" t="s">
        <v>30</v>
      </c>
      <c r="K53" s="3" t="s">
        <v>31</v>
      </c>
      <c r="L53" s="3" t="s">
        <v>33</v>
      </c>
      <c r="M53" s="3" t="s">
        <v>31</v>
      </c>
      <c r="N53" s="3" t="s">
        <v>31</v>
      </c>
      <c r="O53" s="3" t="s">
        <v>33</v>
      </c>
      <c r="P53" s="3" t="s">
        <v>31</v>
      </c>
      <c r="Q53" s="3" t="s">
        <v>33</v>
      </c>
      <c r="R53" s="3" t="s">
        <v>33</v>
      </c>
      <c r="S53" s="3" t="s">
        <v>33</v>
      </c>
      <c r="T53" s="3" t="s">
        <v>33</v>
      </c>
      <c r="U53" s="3" t="s">
        <v>149</v>
      </c>
    </row>
    <row r="54" ht="15.75" customHeight="1">
      <c r="A54" s="2" t="s">
        <v>150</v>
      </c>
      <c r="B54" s="2" t="s">
        <v>50</v>
      </c>
      <c r="C54" s="2" t="s">
        <v>23</v>
      </c>
      <c r="D54" s="2" t="s">
        <v>56</v>
      </c>
      <c r="E54" s="2" t="s">
        <v>25</v>
      </c>
      <c r="F54" s="2" t="s">
        <v>25</v>
      </c>
      <c r="G54" s="2" t="s">
        <v>27</v>
      </c>
      <c r="H54" s="2" t="s">
        <v>57</v>
      </c>
      <c r="I54" s="2" t="s">
        <v>29</v>
      </c>
      <c r="J54" s="2" t="s">
        <v>30</v>
      </c>
      <c r="K54" s="2" t="s">
        <v>31</v>
      </c>
      <c r="L54" s="2" t="s">
        <v>33</v>
      </c>
      <c r="M54" s="2" t="s">
        <v>31</v>
      </c>
      <c r="N54" s="2" t="s">
        <v>31</v>
      </c>
      <c r="O54" s="2" t="s">
        <v>33</v>
      </c>
      <c r="P54" s="2" t="s">
        <v>31</v>
      </c>
      <c r="Q54" s="2" t="s">
        <v>33</v>
      </c>
      <c r="R54" s="2" t="s">
        <v>33</v>
      </c>
      <c r="S54" s="2" t="s">
        <v>33</v>
      </c>
      <c r="T54" s="2" t="s">
        <v>33</v>
      </c>
      <c r="U54" s="2" t="s">
        <v>151</v>
      </c>
    </row>
    <row r="55" ht="15.75" customHeight="1">
      <c r="A55" s="3" t="s">
        <v>152</v>
      </c>
      <c r="B55" s="3" t="s">
        <v>53</v>
      </c>
      <c r="C55" s="3" t="s">
        <v>23</v>
      </c>
      <c r="D55" s="3" t="s">
        <v>56</v>
      </c>
      <c r="E55" s="3" t="s">
        <v>25</v>
      </c>
      <c r="F55" s="3" t="s">
        <v>25</v>
      </c>
      <c r="G55" s="3" t="s">
        <v>27</v>
      </c>
      <c r="H55" s="3" t="s">
        <v>57</v>
      </c>
      <c r="I55" s="3" t="s">
        <v>29</v>
      </c>
      <c r="J55" s="3" t="s">
        <v>30</v>
      </c>
      <c r="K55" s="3" t="s">
        <v>31</v>
      </c>
      <c r="L55" s="3" t="s">
        <v>33</v>
      </c>
      <c r="M55" s="3" t="s">
        <v>31</v>
      </c>
      <c r="N55" s="3" t="s">
        <v>31</v>
      </c>
      <c r="O55" s="3" t="s">
        <v>33</v>
      </c>
      <c r="P55" s="3" t="s">
        <v>31</v>
      </c>
      <c r="Q55" s="3" t="s">
        <v>33</v>
      </c>
      <c r="R55" s="3" t="s">
        <v>33</v>
      </c>
      <c r="S55" s="3" t="s">
        <v>33</v>
      </c>
      <c r="T55" s="3" t="s">
        <v>33</v>
      </c>
      <c r="U55" s="3" t="s">
        <v>153</v>
      </c>
    </row>
    <row r="56" ht="15.75" customHeight="1">
      <c r="A56" s="2" t="s">
        <v>154</v>
      </c>
      <c r="B56" s="2" t="s">
        <v>22</v>
      </c>
      <c r="C56" s="2" t="s">
        <v>23</v>
      </c>
      <c r="D56" s="2" t="s">
        <v>56</v>
      </c>
      <c r="E56" s="2" t="s">
        <v>25</v>
      </c>
      <c r="F56" s="2" t="s">
        <v>25</v>
      </c>
      <c r="G56" s="2" t="s">
        <v>27</v>
      </c>
      <c r="H56" s="2" t="s">
        <v>57</v>
      </c>
      <c r="I56" s="2" t="s">
        <v>29</v>
      </c>
      <c r="J56" s="2" t="s">
        <v>30</v>
      </c>
      <c r="K56" s="2" t="s">
        <v>31</v>
      </c>
      <c r="L56" s="2" t="s">
        <v>33</v>
      </c>
      <c r="M56" s="2" t="s">
        <v>31</v>
      </c>
      <c r="N56" s="2" t="s">
        <v>31</v>
      </c>
      <c r="O56" s="2" t="s">
        <v>33</v>
      </c>
      <c r="P56" s="2" t="s">
        <v>31</v>
      </c>
      <c r="Q56" s="2" t="s">
        <v>33</v>
      </c>
      <c r="R56" s="2" t="s">
        <v>33</v>
      </c>
      <c r="S56" s="2" t="s">
        <v>33</v>
      </c>
      <c r="T56" s="2" t="s">
        <v>33</v>
      </c>
      <c r="U56" s="2" t="s">
        <v>155</v>
      </c>
    </row>
    <row r="57" ht="15.75" customHeight="1">
      <c r="A57" s="3" t="s">
        <v>156</v>
      </c>
      <c r="B57" s="3" t="s">
        <v>36</v>
      </c>
      <c r="C57" s="3" t="s">
        <v>23</v>
      </c>
      <c r="D57" s="3" t="s">
        <v>56</v>
      </c>
      <c r="E57" s="3" t="s">
        <v>25</v>
      </c>
      <c r="F57" s="3" t="s">
        <v>25</v>
      </c>
      <c r="G57" s="3" t="s">
        <v>27</v>
      </c>
      <c r="H57" s="3" t="s">
        <v>57</v>
      </c>
      <c r="I57" s="3" t="s">
        <v>29</v>
      </c>
      <c r="J57" s="3" t="s">
        <v>30</v>
      </c>
      <c r="K57" s="3" t="s">
        <v>31</v>
      </c>
      <c r="L57" s="3" t="s">
        <v>33</v>
      </c>
      <c r="M57" s="3" t="s">
        <v>31</v>
      </c>
      <c r="N57" s="3" t="s">
        <v>31</v>
      </c>
      <c r="O57" s="3" t="s">
        <v>33</v>
      </c>
      <c r="P57" s="3" t="s">
        <v>31</v>
      </c>
      <c r="Q57" s="3" t="s">
        <v>33</v>
      </c>
      <c r="R57" s="3" t="s">
        <v>33</v>
      </c>
      <c r="S57" s="3" t="s">
        <v>33</v>
      </c>
      <c r="T57" s="3" t="s">
        <v>33</v>
      </c>
      <c r="U57" s="3" t="s">
        <v>157</v>
      </c>
    </row>
    <row r="58" ht="15.75" customHeight="1">
      <c r="A58" s="2" t="s">
        <v>158</v>
      </c>
      <c r="B58" s="2" t="s">
        <v>40</v>
      </c>
      <c r="C58" s="2" t="s">
        <v>62</v>
      </c>
      <c r="D58" s="2" t="s">
        <v>56</v>
      </c>
      <c r="E58" s="2" t="s">
        <v>25</v>
      </c>
      <c r="F58" s="2" t="s">
        <v>25</v>
      </c>
      <c r="G58" s="2" t="s">
        <v>27</v>
      </c>
      <c r="H58" s="2" t="s">
        <v>57</v>
      </c>
      <c r="I58" s="2" t="s">
        <v>30</v>
      </c>
      <c r="J58" s="2" t="s">
        <v>30</v>
      </c>
      <c r="K58" s="2" t="s">
        <v>31</v>
      </c>
      <c r="L58" s="2" t="s">
        <v>33</v>
      </c>
      <c r="M58" s="2" t="s">
        <v>33</v>
      </c>
      <c r="N58" s="2" t="s">
        <v>31</v>
      </c>
      <c r="O58" s="2" t="s">
        <v>33</v>
      </c>
      <c r="P58" s="2" t="s">
        <v>31</v>
      </c>
      <c r="Q58" s="2" t="s">
        <v>31</v>
      </c>
      <c r="R58" s="2" t="s">
        <v>33</v>
      </c>
      <c r="S58" s="2" t="s">
        <v>33</v>
      </c>
      <c r="T58" s="2" t="s">
        <v>33</v>
      </c>
      <c r="U58" s="2" t="s">
        <v>159</v>
      </c>
    </row>
    <row r="59" ht="15.75" customHeight="1">
      <c r="A59" s="3" t="s">
        <v>160</v>
      </c>
      <c r="B59" s="3" t="s">
        <v>47</v>
      </c>
      <c r="C59" s="3" t="s">
        <v>23</v>
      </c>
      <c r="D59" s="3" t="s">
        <v>56</v>
      </c>
      <c r="E59" s="3" t="s">
        <v>25</v>
      </c>
      <c r="F59" s="3" t="s">
        <v>25</v>
      </c>
      <c r="G59" s="3" t="s">
        <v>27</v>
      </c>
      <c r="H59" s="3" t="s">
        <v>57</v>
      </c>
      <c r="I59" s="3" t="s">
        <v>29</v>
      </c>
      <c r="J59" s="3" t="s">
        <v>30</v>
      </c>
      <c r="K59" s="3" t="s">
        <v>31</v>
      </c>
      <c r="L59" s="3" t="s">
        <v>33</v>
      </c>
      <c r="M59" s="3" t="s">
        <v>31</v>
      </c>
      <c r="N59" s="3" t="s">
        <v>31</v>
      </c>
      <c r="O59" s="3" t="s">
        <v>33</v>
      </c>
      <c r="P59" s="3" t="s">
        <v>31</v>
      </c>
      <c r="Q59" s="3" t="s">
        <v>33</v>
      </c>
      <c r="R59" s="3" t="s">
        <v>33</v>
      </c>
      <c r="S59" s="3" t="s">
        <v>33</v>
      </c>
      <c r="T59" s="3" t="s">
        <v>33</v>
      </c>
      <c r="U59" s="3" t="s">
        <v>161</v>
      </c>
    </row>
    <row r="60" ht="15.75" customHeight="1">
      <c r="A60" s="2" t="s">
        <v>162</v>
      </c>
      <c r="B60" s="2" t="s">
        <v>50</v>
      </c>
      <c r="C60" s="2" t="s">
        <v>23</v>
      </c>
      <c r="D60" s="2" t="s">
        <v>56</v>
      </c>
      <c r="E60" s="2" t="s">
        <v>25</v>
      </c>
      <c r="F60" s="2" t="s">
        <v>25</v>
      </c>
      <c r="G60" s="2" t="s">
        <v>27</v>
      </c>
      <c r="H60" s="2" t="s">
        <v>57</v>
      </c>
      <c r="I60" s="2" t="s">
        <v>29</v>
      </c>
      <c r="J60" s="2" t="s">
        <v>30</v>
      </c>
      <c r="K60" s="2" t="s">
        <v>31</v>
      </c>
      <c r="L60" s="2" t="s">
        <v>33</v>
      </c>
      <c r="M60" s="2" t="s">
        <v>31</v>
      </c>
      <c r="N60" s="2" t="s">
        <v>31</v>
      </c>
      <c r="O60" s="2" t="s">
        <v>33</v>
      </c>
      <c r="P60" s="2" t="s">
        <v>31</v>
      </c>
      <c r="Q60" s="2" t="s">
        <v>33</v>
      </c>
      <c r="R60" s="2" t="s">
        <v>33</v>
      </c>
      <c r="S60" s="2" t="s">
        <v>33</v>
      </c>
      <c r="T60" s="2" t="s">
        <v>33</v>
      </c>
      <c r="U60" s="2" t="s">
        <v>163</v>
      </c>
    </row>
    <row r="61" ht="15.75" customHeight="1">
      <c r="A61" s="3" t="s">
        <v>164</v>
      </c>
      <c r="B61" s="3" t="s">
        <v>53</v>
      </c>
      <c r="C61" s="3" t="s">
        <v>23</v>
      </c>
      <c r="D61" s="3" t="s">
        <v>56</v>
      </c>
      <c r="E61" s="3" t="s">
        <v>25</v>
      </c>
      <c r="F61" s="3" t="s">
        <v>25</v>
      </c>
      <c r="G61" s="3" t="s">
        <v>27</v>
      </c>
      <c r="H61" s="3" t="s">
        <v>57</v>
      </c>
      <c r="I61" s="3" t="s">
        <v>29</v>
      </c>
      <c r="J61" s="3" t="s">
        <v>30</v>
      </c>
      <c r="K61" s="3" t="s">
        <v>31</v>
      </c>
      <c r="L61" s="3" t="s">
        <v>33</v>
      </c>
      <c r="M61" s="3" t="s">
        <v>31</v>
      </c>
      <c r="N61" s="3" t="s">
        <v>31</v>
      </c>
      <c r="O61" s="3" t="s">
        <v>33</v>
      </c>
      <c r="P61" s="3" t="s">
        <v>31</v>
      </c>
      <c r="Q61" s="3" t="s">
        <v>33</v>
      </c>
      <c r="R61" s="3" t="s">
        <v>33</v>
      </c>
      <c r="S61" s="3" t="s">
        <v>33</v>
      </c>
      <c r="T61" s="3" t="s">
        <v>33</v>
      </c>
      <c r="U61" s="3" t="s">
        <v>165</v>
      </c>
    </row>
    <row r="62" ht="15.75" customHeight="1">
      <c r="A62" s="2" t="s">
        <v>166</v>
      </c>
      <c r="B62" s="2" t="s">
        <v>22</v>
      </c>
      <c r="C62" s="2" t="s">
        <v>62</v>
      </c>
      <c r="D62" s="2" t="s">
        <v>56</v>
      </c>
      <c r="E62" s="2" t="s">
        <v>25</v>
      </c>
      <c r="F62" s="2" t="s">
        <v>25</v>
      </c>
      <c r="G62" s="2" t="s">
        <v>27</v>
      </c>
      <c r="H62" s="2" t="s">
        <v>57</v>
      </c>
      <c r="I62" s="2" t="s">
        <v>30</v>
      </c>
      <c r="J62" s="2" t="s">
        <v>30</v>
      </c>
      <c r="K62" s="2" t="s">
        <v>31</v>
      </c>
      <c r="L62" s="2" t="s">
        <v>33</v>
      </c>
      <c r="M62" s="2" t="s">
        <v>33</v>
      </c>
      <c r="N62" s="2" t="s">
        <v>31</v>
      </c>
      <c r="O62" s="2" t="s">
        <v>33</v>
      </c>
      <c r="P62" s="2" t="s">
        <v>31</v>
      </c>
      <c r="Q62" s="2" t="s">
        <v>31</v>
      </c>
      <c r="R62" s="2" t="s">
        <v>33</v>
      </c>
      <c r="S62" s="2" t="s">
        <v>33</v>
      </c>
      <c r="T62" s="2" t="s">
        <v>33</v>
      </c>
      <c r="U62" s="2" t="s">
        <v>167</v>
      </c>
    </row>
    <row r="63" ht="15.75" customHeight="1">
      <c r="A63" s="3" t="s">
        <v>168</v>
      </c>
      <c r="B63" s="3" t="s">
        <v>36</v>
      </c>
      <c r="C63" s="3" t="s">
        <v>62</v>
      </c>
      <c r="D63" s="3" t="s">
        <v>56</v>
      </c>
      <c r="E63" s="3" t="s">
        <v>25</v>
      </c>
      <c r="F63" s="3" t="s">
        <v>25</v>
      </c>
      <c r="G63" s="3" t="s">
        <v>27</v>
      </c>
      <c r="H63" s="3" t="s">
        <v>57</v>
      </c>
      <c r="I63" s="3" t="s">
        <v>30</v>
      </c>
      <c r="J63" s="3" t="s">
        <v>30</v>
      </c>
      <c r="K63" s="3" t="s">
        <v>31</v>
      </c>
      <c r="L63" s="3" t="s">
        <v>33</v>
      </c>
      <c r="M63" s="3" t="s">
        <v>33</v>
      </c>
      <c r="N63" s="3" t="s">
        <v>31</v>
      </c>
      <c r="O63" s="3" t="s">
        <v>33</v>
      </c>
      <c r="P63" s="3" t="s">
        <v>31</v>
      </c>
      <c r="Q63" s="3" t="s">
        <v>31</v>
      </c>
      <c r="R63" s="3" t="s">
        <v>33</v>
      </c>
      <c r="S63" s="3" t="s">
        <v>33</v>
      </c>
      <c r="T63" s="3" t="s">
        <v>33</v>
      </c>
      <c r="U63" s="3" t="s">
        <v>169</v>
      </c>
    </row>
    <row r="64" ht="15.75" customHeight="1">
      <c r="A64" s="2" t="s">
        <v>170</v>
      </c>
      <c r="B64" s="2" t="s">
        <v>40</v>
      </c>
      <c r="C64" s="2" t="s">
        <v>62</v>
      </c>
      <c r="D64" s="2" t="s">
        <v>56</v>
      </c>
      <c r="E64" s="2" t="s">
        <v>25</v>
      </c>
      <c r="F64" s="2" t="s">
        <v>25</v>
      </c>
      <c r="G64" s="2" t="s">
        <v>27</v>
      </c>
      <c r="H64" s="2" t="s">
        <v>57</v>
      </c>
      <c r="I64" s="2" t="s">
        <v>30</v>
      </c>
      <c r="J64" s="2" t="s">
        <v>30</v>
      </c>
      <c r="K64" s="2" t="s">
        <v>31</v>
      </c>
      <c r="L64" s="2" t="s">
        <v>33</v>
      </c>
      <c r="M64" s="2" t="s">
        <v>33</v>
      </c>
      <c r="N64" s="2" t="s">
        <v>31</v>
      </c>
      <c r="O64" s="2" t="s">
        <v>33</v>
      </c>
      <c r="P64" s="2" t="s">
        <v>31</v>
      </c>
      <c r="Q64" s="2" t="s">
        <v>31</v>
      </c>
      <c r="R64" s="2" t="s">
        <v>33</v>
      </c>
      <c r="S64" s="2" t="s">
        <v>33</v>
      </c>
      <c r="T64" s="2" t="s">
        <v>33</v>
      </c>
      <c r="U64" s="2" t="s">
        <v>171</v>
      </c>
    </row>
    <row r="65" ht="15.75" customHeight="1">
      <c r="A65" s="3" t="s">
        <v>172</v>
      </c>
      <c r="B65" s="3" t="s">
        <v>47</v>
      </c>
      <c r="C65" s="3" t="s">
        <v>173</v>
      </c>
      <c r="D65" s="3" t="s">
        <v>56</v>
      </c>
      <c r="E65" s="3" t="s">
        <v>25</v>
      </c>
      <c r="F65" s="3" t="s">
        <v>25</v>
      </c>
      <c r="G65" s="3" t="s">
        <v>174</v>
      </c>
      <c r="H65" s="3" t="s">
        <v>57</v>
      </c>
      <c r="I65" s="3" t="s">
        <v>30</v>
      </c>
      <c r="J65" s="3" t="s">
        <v>30</v>
      </c>
      <c r="K65" s="3" t="s">
        <v>33</v>
      </c>
      <c r="L65" s="3" t="s">
        <v>33</v>
      </c>
      <c r="M65" s="3" t="s">
        <v>31</v>
      </c>
      <c r="N65" s="3" t="s">
        <v>31</v>
      </c>
      <c r="O65" s="3" t="s">
        <v>33</v>
      </c>
      <c r="P65" s="3" t="s">
        <v>31</v>
      </c>
      <c r="Q65" s="3" t="s">
        <v>33</v>
      </c>
      <c r="R65" s="3" t="s">
        <v>33</v>
      </c>
      <c r="S65" s="3" t="s">
        <v>31</v>
      </c>
      <c r="T65" s="3" t="s">
        <v>33</v>
      </c>
      <c r="U65" s="3" t="s">
        <v>175</v>
      </c>
    </row>
    <row r="66" ht="15.75" customHeight="1">
      <c r="A66" s="2" t="s">
        <v>176</v>
      </c>
      <c r="B66" s="2" t="s">
        <v>50</v>
      </c>
      <c r="C66" s="2" t="s">
        <v>177</v>
      </c>
      <c r="D66" s="2" t="s">
        <v>56</v>
      </c>
      <c r="E66" s="2" t="s">
        <v>25</v>
      </c>
      <c r="F66" s="2" t="s">
        <v>25</v>
      </c>
      <c r="G66" s="2" t="s">
        <v>57</v>
      </c>
      <c r="H66" s="2" t="s">
        <v>57</v>
      </c>
      <c r="I66" s="2" t="s">
        <v>30</v>
      </c>
      <c r="J66" s="2" t="s">
        <v>30</v>
      </c>
      <c r="K66" s="2" t="s">
        <v>31</v>
      </c>
      <c r="L66" s="2" t="s">
        <v>33</v>
      </c>
      <c r="M66" s="2" t="s">
        <v>31</v>
      </c>
      <c r="N66" s="2" t="s">
        <v>31</v>
      </c>
      <c r="O66" s="2" t="s">
        <v>33</v>
      </c>
      <c r="P66" s="2" t="s">
        <v>31</v>
      </c>
      <c r="Q66" s="2" t="s">
        <v>33</v>
      </c>
      <c r="R66" s="2" t="s">
        <v>33</v>
      </c>
      <c r="S66" s="2" t="s">
        <v>33</v>
      </c>
      <c r="T66" s="2" t="s">
        <v>33</v>
      </c>
      <c r="U66" s="2" t="s">
        <v>178</v>
      </c>
    </row>
    <row r="67" ht="15.75" customHeight="1">
      <c r="A67" s="3" t="s">
        <v>179</v>
      </c>
      <c r="B67" s="3" t="s">
        <v>53</v>
      </c>
      <c r="C67" s="3" t="s">
        <v>62</v>
      </c>
      <c r="D67" s="3" t="s">
        <v>56</v>
      </c>
      <c r="E67" s="3" t="s">
        <v>25</v>
      </c>
      <c r="F67" s="3" t="s">
        <v>25</v>
      </c>
      <c r="G67" s="3" t="s">
        <v>27</v>
      </c>
      <c r="H67" s="3" t="s">
        <v>57</v>
      </c>
      <c r="I67" s="3" t="s">
        <v>30</v>
      </c>
      <c r="J67" s="3" t="s">
        <v>30</v>
      </c>
      <c r="K67" s="3" t="s">
        <v>31</v>
      </c>
      <c r="L67" s="3" t="s">
        <v>33</v>
      </c>
      <c r="M67" s="3" t="s">
        <v>33</v>
      </c>
      <c r="N67" s="3" t="s">
        <v>31</v>
      </c>
      <c r="O67" s="3" t="s">
        <v>33</v>
      </c>
      <c r="P67" s="3" t="s">
        <v>31</v>
      </c>
      <c r="Q67" s="3" t="s">
        <v>31</v>
      </c>
      <c r="R67" s="3" t="s">
        <v>33</v>
      </c>
      <c r="S67" s="3" t="s">
        <v>33</v>
      </c>
      <c r="T67" s="3" t="s">
        <v>33</v>
      </c>
      <c r="U67" s="3" t="s">
        <v>180</v>
      </c>
    </row>
    <row r="68" ht="15.75" customHeight="1">
      <c r="A68" s="2" t="s">
        <v>181</v>
      </c>
      <c r="B68" s="2" t="s">
        <v>22</v>
      </c>
      <c r="C68" s="2" t="s">
        <v>62</v>
      </c>
      <c r="D68" s="2" t="s">
        <v>56</v>
      </c>
      <c r="E68" s="2" t="s">
        <v>25</v>
      </c>
      <c r="F68" s="2" t="s">
        <v>25</v>
      </c>
      <c r="G68" s="2" t="s">
        <v>27</v>
      </c>
      <c r="H68" s="2" t="s">
        <v>57</v>
      </c>
      <c r="I68" s="2" t="s">
        <v>30</v>
      </c>
      <c r="J68" s="2" t="s">
        <v>30</v>
      </c>
      <c r="K68" s="2" t="s">
        <v>31</v>
      </c>
      <c r="L68" s="2" t="s">
        <v>33</v>
      </c>
      <c r="M68" s="2" t="s">
        <v>33</v>
      </c>
      <c r="N68" s="2" t="s">
        <v>31</v>
      </c>
      <c r="O68" s="2" t="s">
        <v>33</v>
      </c>
      <c r="P68" s="2" t="s">
        <v>31</v>
      </c>
      <c r="Q68" s="2" t="s">
        <v>31</v>
      </c>
      <c r="R68" s="2" t="s">
        <v>33</v>
      </c>
      <c r="S68" s="2" t="s">
        <v>33</v>
      </c>
      <c r="T68" s="2" t="s">
        <v>33</v>
      </c>
      <c r="U68" s="2" t="s">
        <v>182</v>
      </c>
    </row>
    <row r="69" ht="15.75" customHeight="1">
      <c r="A69" s="3" t="s">
        <v>183</v>
      </c>
      <c r="B69" s="3" t="s">
        <v>36</v>
      </c>
      <c r="C69" s="3" t="s">
        <v>62</v>
      </c>
      <c r="D69" s="3" t="s">
        <v>56</v>
      </c>
      <c r="E69" s="3" t="s">
        <v>25</v>
      </c>
      <c r="F69" s="3" t="s">
        <v>25</v>
      </c>
      <c r="G69" s="3" t="s">
        <v>27</v>
      </c>
      <c r="H69" s="3" t="s">
        <v>57</v>
      </c>
      <c r="I69" s="3" t="s">
        <v>30</v>
      </c>
      <c r="J69" s="3" t="s">
        <v>30</v>
      </c>
      <c r="K69" s="3" t="s">
        <v>31</v>
      </c>
      <c r="L69" s="3" t="s">
        <v>33</v>
      </c>
      <c r="M69" s="3" t="s">
        <v>33</v>
      </c>
      <c r="N69" s="3" t="s">
        <v>31</v>
      </c>
      <c r="O69" s="3" t="s">
        <v>33</v>
      </c>
      <c r="P69" s="3" t="s">
        <v>31</v>
      </c>
      <c r="Q69" s="3" t="s">
        <v>31</v>
      </c>
      <c r="R69" s="3" t="s">
        <v>33</v>
      </c>
      <c r="S69" s="3" t="s">
        <v>33</v>
      </c>
      <c r="T69" s="3" t="s">
        <v>33</v>
      </c>
      <c r="U69" s="3" t="s">
        <v>184</v>
      </c>
    </row>
    <row r="70" ht="15.75" customHeight="1">
      <c r="A70" s="2" t="s">
        <v>185</v>
      </c>
      <c r="B70" s="2" t="s">
        <v>40</v>
      </c>
      <c r="C70" s="2" t="s">
        <v>62</v>
      </c>
      <c r="D70" s="2" t="s">
        <v>56</v>
      </c>
      <c r="E70" s="2" t="s">
        <v>25</v>
      </c>
      <c r="F70" s="2" t="s">
        <v>25</v>
      </c>
      <c r="G70" s="2" t="s">
        <v>27</v>
      </c>
      <c r="H70" s="2" t="s">
        <v>57</v>
      </c>
      <c r="I70" s="2" t="s">
        <v>30</v>
      </c>
      <c r="J70" s="2" t="s">
        <v>30</v>
      </c>
      <c r="K70" s="2" t="s">
        <v>31</v>
      </c>
      <c r="L70" s="2" t="s">
        <v>33</v>
      </c>
      <c r="M70" s="2" t="s">
        <v>33</v>
      </c>
      <c r="N70" s="2" t="s">
        <v>31</v>
      </c>
      <c r="O70" s="2" t="s">
        <v>33</v>
      </c>
      <c r="P70" s="2" t="s">
        <v>31</v>
      </c>
      <c r="Q70" s="2" t="s">
        <v>31</v>
      </c>
      <c r="R70" s="2" t="s">
        <v>33</v>
      </c>
      <c r="S70" s="2" t="s">
        <v>33</v>
      </c>
      <c r="T70" s="2" t="s">
        <v>33</v>
      </c>
      <c r="U70" s="2" t="s">
        <v>186</v>
      </c>
    </row>
    <row r="71" ht="15.75" customHeight="1">
      <c r="A71" s="3" t="s">
        <v>187</v>
      </c>
      <c r="B71" s="3" t="s">
        <v>47</v>
      </c>
      <c r="C71" s="3" t="s">
        <v>173</v>
      </c>
      <c r="D71" s="3" t="s">
        <v>56</v>
      </c>
      <c r="E71" s="3" t="s">
        <v>25</v>
      </c>
      <c r="F71" s="3" t="s">
        <v>25</v>
      </c>
      <c r="G71" s="3" t="s">
        <v>174</v>
      </c>
      <c r="H71" s="3" t="s">
        <v>57</v>
      </c>
      <c r="I71" s="3" t="s">
        <v>30</v>
      </c>
      <c r="J71" s="3" t="s">
        <v>30</v>
      </c>
      <c r="K71" s="3" t="s">
        <v>33</v>
      </c>
      <c r="L71" s="3" t="s">
        <v>33</v>
      </c>
      <c r="M71" s="3" t="s">
        <v>31</v>
      </c>
      <c r="N71" s="3" t="s">
        <v>31</v>
      </c>
      <c r="O71" s="3" t="s">
        <v>33</v>
      </c>
      <c r="P71" s="3" t="s">
        <v>31</v>
      </c>
      <c r="Q71" s="3" t="s">
        <v>33</v>
      </c>
      <c r="R71" s="3" t="s">
        <v>33</v>
      </c>
      <c r="S71" s="3" t="s">
        <v>31</v>
      </c>
      <c r="T71" s="3" t="s">
        <v>33</v>
      </c>
      <c r="U71" s="3" t="s">
        <v>188</v>
      </c>
    </row>
    <row r="72" ht="15.75" customHeight="1">
      <c r="A72" s="2" t="s">
        <v>189</v>
      </c>
      <c r="B72" s="2" t="s">
        <v>50</v>
      </c>
      <c r="C72" s="2" t="s">
        <v>177</v>
      </c>
      <c r="D72" s="2" t="s">
        <v>56</v>
      </c>
      <c r="E72" s="2" t="s">
        <v>25</v>
      </c>
      <c r="F72" s="2" t="s">
        <v>25</v>
      </c>
      <c r="G72" s="2" t="s">
        <v>57</v>
      </c>
      <c r="H72" s="2" t="s">
        <v>57</v>
      </c>
      <c r="I72" s="2" t="s">
        <v>30</v>
      </c>
      <c r="J72" s="2" t="s">
        <v>30</v>
      </c>
      <c r="K72" s="2" t="s">
        <v>31</v>
      </c>
      <c r="L72" s="2" t="s">
        <v>33</v>
      </c>
      <c r="M72" s="2" t="s">
        <v>31</v>
      </c>
      <c r="N72" s="2" t="s">
        <v>31</v>
      </c>
      <c r="O72" s="2" t="s">
        <v>33</v>
      </c>
      <c r="P72" s="2" t="s">
        <v>31</v>
      </c>
      <c r="Q72" s="2" t="s">
        <v>33</v>
      </c>
      <c r="R72" s="2" t="s">
        <v>33</v>
      </c>
      <c r="S72" s="2" t="s">
        <v>33</v>
      </c>
      <c r="T72" s="2" t="s">
        <v>33</v>
      </c>
      <c r="U72" s="2" t="s">
        <v>190</v>
      </c>
    </row>
    <row r="73" ht="15.75" customHeight="1">
      <c r="A73" s="3" t="s">
        <v>191</v>
      </c>
      <c r="B73" s="3" t="s">
        <v>53</v>
      </c>
      <c r="C73" s="3" t="s">
        <v>62</v>
      </c>
      <c r="D73" s="3" t="s">
        <v>56</v>
      </c>
      <c r="E73" s="3" t="s">
        <v>25</v>
      </c>
      <c r="F73" s="3" t="s">
        <v>25</v>
      </c>
      <c r="G73" s="3" t="s">
        <v>27</v>
      </c>
      <c r="H73" s="3" t="s">
        <v>57</v>
      </c>
      <c r="I73" s="3" t="s">
        <v>30</v>
      </c>
      <c r="J73" s="3" t="s">
        <v>30</v>
      </c>
      <c r="K73" s="3" t="s">
        <v>31</v>
      </c>
      <c r="L73" s="3" t="s">
        <v>33</v>
      </c>
      <c r="M73" s="3" t="s">
        <v>33</v>
      </c>
      <c r="N73" s="3" t="s">
        <v>31</v>
      </c>
      <c r="O73" s="3" t="s">
        <v>33</v>
      </c>
      <c r="P73" s="3" t="s">
        <v>31</v>
      </c>
      <c r="Q73" s="3" t="s">
        <v>31</v>
      </c>
      <c r="R73" s="3" t="s">
        <v>33</v>
      </c>
      <c r="S73" s="3" t="s">
        <v>33</v>
      </c>
      <c r="T73" s="3" t="s">
        <v>33</v>
      </c>
      <c r="U73" s="3" t="s">
        <v>192</v>
      </c>
    </row>
    <row r="74" ht="15.75" customHeight="1">
      <c r="A74" s="2" t="s">
        <v>193</v>
      </c>
      <c r="B74" s="2" t="s">
        <v>22</v>
      </c>
      <c r="C74" s="2" t="s">
        <v>62</v>
      </c>
      <c r="D74" s="2" t="s">
        <v>56</v>
      </c>
      <c r="E74" s="2" t="s">
        <v>25</v>
      </c>
      <c r="F74" s="2" t="s">
        <v>25</v>
      </c>
      <c r="G74" s="2" t="s">
        <v>27</v>
      </c>
      <c r="H74" s="2" t="s">
        <v>57</v>
      </c>
      <c r="I74" s="2" t="s">
        <v>30</v>
      </c>
      <c r="J74" s="2" t="s">
        <v>30</v>
      </c>
      <c r="K74" s="2" t="s">
        <v>31</v>
      </c>
      <c r="L74" s="2" t="s">
        <v>33</v>
      </c>
      <c r="M74" s="2" t="s">
        <v>33</v>
      </c>
      <c r="N74" s="2" t="s">
        <v>31</v>
      </c>
      <c r="O74" s="2" t="s">
        <v>33</v>
      </c>
      <c r="P74" s="2" t="s">
        <v>31</v>
      </c>
      <c r="Q74" s="2" t="s">
        <v>31</v>
      </c>
      <c r="R74" s="2" t="s">
        <v>33</v>
      </c>
      <c r="S74" s="2" t="s">
        <v>33</v>
      </c>
      <c r="T74" s="2" t="s">
        <v>33</v>
      </c>
      <c r="U74" s="2" t="s">
        <v>194</v>
      </c>
    </row>
    <row r="75" ht="15.75" customHeight="1">
      <c r="A75" s="3" t="s">
        <v>195</v>
      </c>
      <c r="B75" s="3" t="s">
        <v>36</v>
      </c>
      <c r="C75" s="3" t="s">
        <v>62</v>
      </c>
      <c r="D75" s="3" t="s">
        <v>56</v>
      </c>
      <c r="E75" s="3" t="s">
        <v>25</v>
      </c>
      <c r="F75" s="3" t="s">
        <v>25</v>
      </c>
      <c r="G75" s="3" t="s">
        <v>27</v>
      </c>
      <c r="H75" s="3" t="s">
        <v>57</v>
      </c>
      <c r="I75" s="3" t="s">
        <v>30</v>
      </c>
      <c r="J75" s="3" t="s">
        <v>30</v>
      </c>
      <c r="K75" s="3" t="s">
        <v>31</v>
      </c>
      <c r="L75" s="3" t="s">
        <v>33</v>
      </c>
      <c r="M75" s="3" t="s">
        <v>33</v>
      </c>
      <c r="N75" s="3" t="s">
        <v>31</v>
      </c>
      <c r="O75" s="3" t="s">
        <v>33</v>
      </c>
      <c r="P75" s="3" t="s">
        <v>31</v>
      </c>
      <c r="Q75" s="3" t="s">
        <v>31</v>
      </c>
      <c r="R75" s="3" t="s">
        <v>33</v>
      </c>
      <c r="S75" s="3" t="s">
        <v>33</v>
      </c>
      <c r="T75" s="3" t="s">
        <v>33</v>
      </c>
      <c r="U75" s="3" t="s">
        <v>196</v>
      </c>
    </row>
    <row r="76" ht="15.75" customHeight="1">
      <c r="A76" s="2" t="s">
        <v>197</v>
      </c>
      <c r="B76" s="2" t="s">
        <v>40</v>
      </c>
      <c r="C76" s="2" t="s">
        <v>62</v>
      </c>
      <c r="D76" s="2" t="s">
        <v>56</v>
      </c>
      <c r="E76" s="2" t="s">
        <v>25</v>
      </c>
      <c r="F76" s="2" t="s">
        <v>25</v>
      </c>
      <c r="G76" s="2" t="s">
        <v>27</v>
      </c>
      <c r="H76" s="2" t="s">
        <v>57</v>
      </c>
      <c r="I76" s="2" t="s">
        <v>30</v>
      </c>
      <c r="J76" s="2" t="s">
        <v>30</v>
      </c>
      <c r="K76" s="2" t="s">
        <v>31</v>
      </c>
      <c r="L76" s="2" t="s">
        <v>33</v>
      </c>
      <c r="M76" s="2" t="s">
        <v>33</v>
      </c>
      <c r="N76" s="2" t="s">
        <v>31</v>
      </c>
      <c r="O76" s="2" t="s">
        <v>33</v>
      </c>
      <c r="P76" s="2" t="s">
        <v>31</v>
      </c>
      <c r="Q76" s="2" t="s">
        <v>31</v>
      </c>
      <c r="R76" s="2" t="s">
        <v>33</v>
      </c>
      <c r="S76" s="2" t="s">
        <v>33</v>
      </c>
      <c r="T76" s="2" t="s">
        <v>33</v>
      </c>
      <c r="U76" s="2" t="s">
        <v>198</v>
      </c>
    </row>
    <row r="77" ht="15.75" customHeight="1">
      <c r="A77" s="3" t="s">
        <v>199</v>
      </c>
      <c r="B77" s="3" t="s">
        <v>47</v>
      </c>
      <c r="C77" s="3" t="s">
        <v>173</v>
      </c>
      <c r="D77" s="3" t="s">
        <v>56</v>
      </c>
      <c r="E77" s="3" t="s">
        <v>25</v>
      </c>
      <c r="F77" s="3" t="s">
        <v>25</v>
      </c>
      <c r="G77" s="3" t="s">
        <v>174</v>
      </c>
      <c r="H77" s="3" t="s">
        <v>57</v>
      </c>
      <c r="I77" s="3" t="s">
        <v>30</v>
      </c>
      <c r="J77" s="3" t="s">
        <v>30</v>
      </c>
      <c r="K77" s="3" t="s">
        <v>33</v>
      </c>
      <c r="L77" s="3" t="s">
        <v>33</v>
      </c>
      <c r="M77" s="3" t="s">
        <v>31</v>
      </c>
      <c r="N77" s="3" t="s">
        <v>31</v>
      </c>
      <c r="O77" s="3" t="s">
        <v>33</v>
      </c>
      <c r="P77" s="3" t="s">
        <v>31</v>
      </c>
      <c r="Q77" s="3" t="s">
        <v>33</v>
      </c>
      <c r="R77" s="3" t="s">
        <v>33</v>
      </c>
      <c r="S77" s="3" t="s">
        <v>31</v>
      </c>
      <c r="T77" s="3" t="s">
        <v>33</v>
      </c>
      <c r="U77" s="3" t="s">
        <v>200</v>
      </c>
    </row>
    <row r="78" ht="15.75" customHeight="1">
      <c r="A78" s="2" t="s">
        <v>201</v>
      </c>
      <c r="B78" s="2" t="s">
        <v>50</v>
      </c>
      <c r="C78" s="2" t="s">
        <v>177</v>
      </c>
      <c r="D78" s="2" t="s">
        <v>56</v>
      </c>
      <c r="E78" s="2" t="s">
        <v>25</v>
      </c>
      <c r="F78" s="2" t="s">
        <v>25</v>
      </c>
      <c r="G78" s="2" t="s">
        <v>57</v>
      </c>
      <c r="H78" s="2" t="s">
        <v>57</v>
      </c>
      <c r="I78" s="2" t="s">
        <v>30</v>
      </c>
      <c r="J78" s="2" t="s">
        <v>30</v>
      </c>
      <c r="K78" s="2" t="s">
        <v>31</v>
      </c>
      <c r="L78" s="2" t="s">
        <v>33</v>
      </c>
      <c r="M78" s="2" t="s">
        <v>31</v>
      </c>
      <c r="N78" s="2" t="s">
        <v>31</v>
      </c>
      <c r="O78" s="2" t="s">
        <v>33</v>
      </c>
      <c r="P78" s="2" t="s">
        <v>31</v>
      </c>
      <c r="Q78" s="2" t="s">
        <v>33</v>
      </c>
      <c r="R78" s="2" t="s">
        <v>33</v>
      </c>
      <c r="S78" s="2" t="s">
        <v>33</v>
      </c>
      <c r="T78" s="2" t="s">
        <v>33</v>
      </c>
      <c r="U78" s="2" t="s">
        <v>202</v>
      </c>
    </row>
    <row r="79" ht="15.75" customHeight="1">
      <c r="A79" s="3" t="s">
        <v>203</v>
      </c>
      <c r="B79" s="3" t="s">
        <v>53</v>
      </c>
      <c r="C79" s="3" t="s">
        <v>62</v>
      </c>
      <c r="D79" s="3" t="s">
        <v>56</v>
      </c>
      <c r="E79" s="3" t="s">
        <v>25</v>
      </c>
      <c r="F79" s="3" t="s">
        <v>25</v>
      </c>
      <c r="G79" s="3" t="s">
        <v>27</v>
      </c>
      <c r="H79" s="3" t="s">
        <v>57</v>
      </c>
      <c r="I79" s="3" t="s">
        <v>30</v>
      </c>
      <c r="J79" s="3" t="s">
        <v>30</v>
      </c>
      <c r="K79" s="3" t="s">
        <v>31</v>
      </c>
      <c r="L79" s="3" t="s">
        <v>33</v>
      </c>
      <c r="M79" s="3" t="s">
        <v>33</v>
      </c>
      <c r="N79" s="3" t="s">
        <v>31</v>
      </c>
      <c r="O79" s="3" t="s">
        <v>33</v>
      </c>
      <c r="P79" s="3" t="s">
        <v>31</v>
      </c>
      <c r="Q79" s="3" t="s">
        <v>31</v>
      </c>
      <c r="R79" s="3" t="s">
        <v>33</v>
      </c>
      <c r="S79" s="3" t="s">
        <v>33</v>
      </c>
      <c r="T79" s="3" t="s">
        <v>33</v>
      </c>
      <c r="U79" s="3" t="s">
        <v>204</v>
      </c>
    </row>
    <row r="80" ht="15.75" customHeight="1">
      <c r="A80" s="2" t="s">
        <v>205</v>
      </c>
      <c r="B80" s="2" t="s">
        <v>22</v>
      </c>
      <c r="C80" s="2" t="s">
        <v>62</v>
      </c>
      <c r="D80" s="2" t="s">
        <v>56</v>
      </c>
      <c r="E80" s="2" t="s">
        <v>25</v>
      </c>
      <c r="F80" s="2" t="s">
        <v>25</v>
      </c>
      <c r="G80" s="2" t="s">
        <v>27</v>
      </c>
      <c r="H80" s="2" t="s">
        <v>57</v>
      </c>
      <c r="I80" s="2" t="s">
        <v>30</v>
      </c>
      <c r="J80" s="2" t="s">
        <v>30</v>
      </c>
      <c r="K80" s="2" t="s">
        <v>31</v>
      </c>
      <c r="L80" s="2" t="s">
        <v>33</v>
      </c>
      <c r="M80" s="2" t="s">
        <v>33</v>
      </c>
      <c r="N80" s="2" t="s">
        <v>31</v>
      </c>
      <c r="O80" s="2" t="s">
        <v>33</v>
      </c>
      <c r="P80" s="2" t="s">
        <v>31</v>
      </c>
      <c r="Q80" s="2" t="s">
        <v>31</v>
      </c>
      <c r="R80" s="2" t="s">
        <v>33</v>
      </c>
      <c r="S80" s="2" t="s">
        <v>33</v>
      </c>
      <c r="T80" s="2" t="s">
        <v>33</v>
      </c>
      <c r="U80" s="2" t="s">
        <v>206</v>
      </c>
    </row>
    <row r="81" ht="15.75" customHeight="1">
      <c r="A81" s="3" t="s">
        <v>207</v>
      </c>
      <c r="B81" s="3" t="s">
        <v>36</v>
      </c>
      <c r="C81" s="3" t="s">
        <v>62</v>
      </c>
      <c r="D81" s="3" t="s">
        <v>56</v>
      </c>
      <c r="E81" s="3" t="s">
        <v>25</v>
      </c>
      <c r="F81" s="3" t="s">
        <v>25</v>
      </c>
      <c r="G81" s="3" t="s">
        <v>27</v>
      </c>
      <c r="H81" s="3" t="s">
        <v>57</v>
      </c>
      <c r="I81" s="3" t="s">
        <v>30</v>
      </c>
      <c r="J81" s="3" t="s">
        <v>30</v>
      </c>
      <c r="K81" s="3" t="s">
        <v>31</v>
      </c>
      <c r="L81" s="3" t="s">
        <v>33</v>
      </c>
      <c r="M81" s="3" t="s">
        <v>33</v>
      </c>
      <c r="N81" s="3" t="s">
        <v>31</v>
      </c>
      <c r="O81" s="3" t="s">
        <v>33</v>
      </c>
      <c r="P81" s="3" t="s">
        <v>31</v>
      </c>
      <c r="Q81" s="3" t="s">
        <v>31</v>
      </c>
      <c r="R81" s="3" t="s">
        <v>33</v>
      </c>
      <c r="S81" s="3" t="s">
        <v>33</v>
      </c>
      <c r="T81" s="3" t="s">
        <v>33</v>
      </c>
      <c r="U81" s="3" t="s">
        <v>208</v>
      </c>
    </row>
    <row r="82" ht="15.75" customHeight="1">
      <c r="A82" s="2" t="s">
        <v>209</v>
      </c>
      <c r="B82" s="2" t="s">
        <v>40</v>
      </c>
      <c r="C82" s="2" t="s">
        <v>62</v>
      </c>
      <c r="D82" s="2" t="s">
        <v>56</v>
      </c>
      <c r="E82" s="2" t="s">
        <v>25</v>
      </c>
      <c r="F82" s="2" t="s">
        <v>25</v>
      </c>
      <c r="G82" s="2" t="s">
        <v>27</v>
      </c>
      <c r="H82" s="2" t="s">
        <v>57</v>
      </c>
      <c r="I82" s="2" t="s">
        <v>30</v>
      </c>
      <c r="J82" s="2" t="s">
        <v>30</v>
      </c>
      <c r="K82" s="2" t="s">
        <v>31</v>
      </c>
      <c r="L82" s="2" t="s">
        <v>33</v>
      </c>
      <c r="M82" s="2" t="s">
        <v>33</v>
      </c>
      <c r="N82" s="2" t="s">
        <v>31</v>
      </c>
      <c r="O82" s="2" t="s">
        <v>33</v>
      </c>
      <c r="P82" s="2" t="s">
        <v>31</v>
      </c>
      <c r="Q82" s="2" t="s">
        <v>31</v>
      </c>
      <c r="R82" s="2" t="s">
        <v>33</v>
      </c>
      <c r="S82" s="2" t="s">
        <v>33</v>
      </c>
      <c r="T82" s="2" t="s">
        <v>33</v>
      </c>
      <c r="U82" s="2" t="s">
        <v>210</v>
      </c>
    </row>
    <row r="83" ht="15.75" customHeight="1">
      <c r="A83" s="3" t="s">
        <v>211</v>
      </c>
      <c r="B83" s="3" t="s">
        <v>47</v>
      </c>
      <c r="C83" s="3" t="s">
        <v>173</v>
      </c>
      <c r="D83" s="3" t="s">
        <v>56</v>
      </c>
      <c r="E83" s="3" t="s">
        <v>25</v>
      </c>
      <c r="F83" s="3" t="s">
        <v>25</v>
      </c>
      <c r="G83" s="3" t="s">
        <v>174</v>
      </c>
      <c r="H83" s="3" t="s">
        <v>57</v>
      </c>
      <c r="I83" s="3" t="s">
        <v>30</v>
      </c>
      <c r="J83" s="3" t="s">
        <v>30</v>
      </c>
      <c r="K83" s="3" t="s">
        <v>33</v>
      </c>
      <c r="L83" s="3" t="s">
        <v>33</v>
      </c>
      <c r="M83" s="3" t="s">
        <v>31</v>
      </c>
      <c r="N83" s="3" t="s">
        <v>31</v>
      </c>
      <c r="O83" s="3" t="s">
        <v>33</v>
      </c>
      <c r="P83" s="3" t="s">
        <v>31</v>
      </c>
      <c r="Q83" s="3" t="s">
        <v>33</v>
      </c>
      <c r="R83" s="3" t="s">
        <v>33</v>
      </c>
      <c r="S83" s="3" t="s">
        <v>31</v>
      </c>
      <c r="T83" s="3" t="s">
        <v>33</v>
      </c>
      <c r="U83" s="3" t="s">
        <v>212</v>
      </c>
    </row>
    <row r="84" ht="15.75" customHeight="1">
      <c r="A84" s="2" t="s">
        <v>213</v>
      </c>
      <c r="B84" s="2" t="s">
        <v>50</v>
      </c>
      <c r="C84" s="2" t="s">
        <v>177</v>
      </c>
      <c r="D84" s="2" t="s">
        <v>56</v>
      </c>
      <c r="E84" s="2" t="s">
        <v>25</v>
      </c>
      <c r="F84" s="2" t="s">
        <v>25</v>
      </c>
      <c r="G84" s="2" t="s">
        <v>57</v>
      </c>
      <c r="H84" s="2" t="s">
        <v>57</v>
      </c>
      <c r="I84" s="2" t="s">
        <v>30</v>
      </c>
      <c r="J84" s="2" t="s">
        <v>30</v>
      </c>
      <c r="K84" s="2" t="s">
        <v>31</v>
      </c>
      <c r="L84" s="2" t="s">
        <v>33</v>
      </c>
      <c r="M84" s="2" t="s">
        <v>31</v>
      </c>
      <c r="N84" s="2" t="s">
        <v>31</v>
      </c>
      <c r="O84" s="2" t="s">
        <v>33</v>
      </c>
      <c r="P84" s="2" t="s">
        <v>31</v>
      </c>
      <c r="Q84" s="2" t="s">
        <v>33</v>
      </c>
      <c r="R84" s="2" t="s">
        <v>33</v>
      </c>
      <c r="S84" s="2" t="s">
        <v>33</v>
      </c>
      <c r="T84" s="2" t="s">
        <v>33</v>
      </c>
      <c r="U84" s="2" t="s">
        <v>214</v>
      </c>
    </row>
    <row r="85" ht="15.75" customHeight="1">
      <c r="A85" s="3" t="s">
        <v>215</v>
      </c>
      <c r="B85" s="3" t="s">
        <v>53</v>
      </c>
      <c r="C85" s="3" t="s">
        <v>62</v>
      </c>
      <c r="D85" s="3" t="s">
        <v>56</v>
      </c>
      <c r="E85" s="3" t="s">
        <v>25</v>
      </c>
      <c r="F85" s="3" t="s">
        <v>25</v>
      </c>
      <c r="G85" s="3" t="s">
        <v>27</v>
      </c>
      <c r="H85" s="3" t="s">
        <v>57</v>
      </c>
      <c r="I85" s="3" t="s">
        <v>30</v>
      </c>
      <c r="J85" s="3" t="s">
        <v>30</v>
      </c>
      <c r="K85" s="3" t="s">
        <v>31</v>
      </c>
      <c r="L85" s="3" t="s">
        <v>33</v>
      </c>
      <c r="M85" s="3" t="s">
        <v>33</v>
      </c>
      <c r="N85" s="3" t="s">
        <v>31</v>
      </c>
      <c r="O85" s="3" t="s">
        <v>33</v>
      </c>
      <c r="P85" s="3" t="s">
        <v>31</v>
      </c>
      <c r="Q85" s="3" t="s">
        <v>31</v>
      </c>
      <c r="R85" s="3" t="s">
        <v>33</v>
      </c>
      <c r="S85" s="3" t="s">
        <v>33</v>
      </c>
      <c r="T85" s="3" t="s">
        <v>33</v>
      </c>
      <c r="U85" s="3" t="s">
        <v>216</v>
      </c>
    </row>
    <row r="86" ht="15.75" customHeight="1">
      <c r="A86" s="2" t="s">
        <v>217</v>
      </c>
      <c r="B86" s="2" t="s">
        <v>22</v>
      </c>
      <c r="C86" s="2" t="s">
        <v>62</v>
      </c>
      <c r="D86" s="2" t="s">
        <v>56</v>
      </c>
      <c r="E86" s="2" t="s">
        <v>25</v>
      </c>
      <c r="F86" s="2" t="s">
        <v>25</v>
      </c>
      <c r="G86" s="2" t="s">
        <v>27</v>
      </c>
      <c r="H86" s="2" t="s">
        <v>57</v>
      </c>
      <c r="I86" s="2" t="s">
        <v>30</v>
      </c>
      <c r="J86" s="2" t="s">
        <v>30</v>
      </c>
      <c r="K86" s="2" t="s">
        <v>31</v>
      </c>
      <c r="L86" s="2" t="s">
        <v>33</v>
      </c>
      <c r="M86" s="2" t="s">
        <v>33</v>
      </c>
      <c r="N86" s="2" t="s">
        <v>31</v>
      </c>
      <c r="O86" s="2" t="s">
        <v>33</v>
      </c>
      <c r="P86" s="2" t="s">
        <v>31</v>
      </c>
      <c r="Q86" s="2" t="s">
        <v>31</v>
      </c>
      <c r="R86" s="2" t="s">
        <v>33</v>
      </c>
      <c r="S86" s="2" t="s">
        <v>33</v>
      </c>
      <c r="T86" s="2" t="s">
        <v>33</v>
      </c>
      <c r="U86" s="2" t="s">
        <v>218</v>
      </c>
    </row>
    <row r="87" ht="15.75" customHeight="1">
      <c r="A87" s="3" t="s">
        <v>219</v>
      </c>
      <c r="B87" s="3" t="s">
        <v>36</v>
      </c>
      <c r="C87" s="3" t="s">
        <v>62</v>
      </c>
      <c r="D87" s="3" t="s">
        <v>56</v>
      </c>
      <c r="E87" s="3" t="s">
        <v>25</v>
      </c>
      <c r="F87" s="3" t="s">
        <v>25</v>
      </c>
      <c r="G87" s="3" t="s">
        <v>27</v>
      </c>
      <c r="H87" s="3" t="s">
        <v>57</v>
      </c>
      <c r="I87" s="3" t="s">
        <v>30</v>
      </c>
      <c r="J87" s="3" t="s">
        <v>30</v>
      </c>
      <c r="K87" s="3" t="s">
        <v>31</v>
      </c>
      <c r="L87" s="3" t="s">
        <v>33</v>
      </c>
      <c r="M87" s="3" t="s">
        <v>33</v>
      </c>
      <c r="N87" s="3" t="s">
        <v>31</v>
      </c>
      <c r="O87" s="3" t="s">
        <v>33</v>
      </c>
      <c r="P87" s="3" t="s">
        <v>31</v>
      </c>
      <c r="Q87" s="3" t="s">
        <v>31</v>
      </c>
      <c r="R87" s="3" t="s">
        <v>33</v>
      </c>
      <c r="S87" s="3" t="s">
        <v>33</v>
      </c>
      <c r="T87" s="3" t="s">
        <v>33</v>
      </c>
      <c r="U87" s="3" t="s">
        <v>220</v>
      </c>
    </row>
    <row r="88" ht="15.75" customHeight="1">
      <c r="A88" s="2" t="s">
        <v>221</v>
      </c>
      <c r="B88" s="2" t="s">
        <v>40</v>
      </c>
      <c r="C88" s="2" t="s">
        <v>62</v>
      </c>
      <c r="D88" s="2" t="s">
        <v>56</v>
      </c>
      <c r="E88" s="2" t="s">
        <v>25</v>
      </c>
      <c r="F88" s="2" t="s">
        <v>25</v>
      </c>
      <c r="G88" s="2" t="s">
        <v>27</v>
      </c>
      <c r="H88" s="2" t="s">
        <v>57</v>
      </c>
      <c r="I88" s="2" t="s">
        <v>30</v>
      </c>
      <c r="J88" s="2" t="s">
        <v>30</v>
      </c>
      <c r="K88" s="2" t="s">
        <v>31</v>
      </c>
      <c r="L88" s="2" t="s">
        <v>33</v>
      </c>
      <c r="M88" s="2" t="s">
        <v>33</v>
      </c>
      <c r="N88" s="2" t="s">
        <v>31</v>
      </c>
      <c r="O88" s="2" t="s">
        <v>33</v>
      </c>
      <c r="P88" s="2" t="s">
        <v>31</v>
      </c>
      <c r="Q88" s="2" t="s">
        <v>31</v>
      </c>
      <c r="R88" s="2" t="s">
        <v>33</v>
      </c>
      <c r="S88" s="2" t="s">
        <v>33</v>
      </c>
      <c r="T88" s="2" t="s">
        <v>33</v>
      </c>
      <c r="U88" s="2" t="s">
        <v>222</v>
      </c>
    </row>
    <row r="89" ht="15.75" customHeight="1">
      <c r="A89" s="3" t="s">
        <v>223</v>
      </c>
      <c r="B89" s="3" t="s">
        <v>47</v>
      </c>
      <c r="C89" s="3" t="s">
        <v>173</v>
      </c>
      <c r="D89" s="3" t="s">
        <v>56</v>
      </c>
      <c r="E89" s="3" t="s">
        <v>25</v>
      </c>
      <c r="F89" s="3" t="s">
        <v>25</v>
      </c>
      <c r="G89" s="3" t="s">
        <v>174</v>
      </c>
      <c r="H89" s="3" t="s">
        <v>57</v>
      </c>
      <c r="I89" s="3" t="s">
        <v>30</v>
      </c>
      <c r="J89" s="3" t="s">
        <v>30</v>
      </c>
      <c r="K89" s="3" t="s">
        <v>33</v>
      </c>
      <c r="L89" s="3" t="s">
        <v>33</v>
      </c>
      <c r="M89" s="3" t="s">
        <v>31</v>
      </c>
      <c r="N89" s="3" t="s">
        <v>31</v>
      </c>
      <c r="O89" s="3" t="s">
        <v>33</v>
      </c>
      <c r="P89" s="3" t="s">
        <v>31</v>
      </c>
      <c r="Q89" s="3" t="s">
        <v>33</v>
      </c>
      <c r="R89" s="3" t="s">
        <v>33</v>
      </c>
      <c r="S89" s="3" t="s">
        <v>31</v>
      </c>
      <c r="T89" s="3" t="s">
        <v>33</v>
      </c>
      <c r="U89" s="3" t="s">
        <v>224</v>
      </c>
    </row>
    <row r="90" ht="15.75" customHeight="1">
      <c r="A90" s="2" t="s">
        <v>225</v>
      </c>
      <c r="B90" s="2" t="s">
        <v>50</v>
      </c>
      <c r="C90" s="2" t="s">
        <v>177</v>
      </c>
      <c r="D90" s="2" t="s">
        <v>56</v>
      </c>
      <c r="E90" s="2" t="s">
        <v>25</v>
      </c>
      <c r="F90" s="2" t="s">
        <v>25</v>
      </c>
      <c r="G90" s="2" t="s">
        <v>57</v>
      </c>
      <c r="H90" s="2" t="s">
        <v>57</v>
      </c>
      <c r="I90" s="2" t="s">
        <v>30</v>
      </c>
      <c r="J90" s="2" t="s">
        <v>30</v>
      </c>
      <c r="K90" s="2" t="s">
        <v>31</v>
      </c>
      <c r="L90" s="2" t="s">
        <v>33</v>
      </c>
      <c r="M90" s="2" t="s">
        <v>31</v>
      </c>
      <c r="N90" s="2" t="s">
        <v>31</v>
      </c>
      <c r="O90" s="2" t="s">
        <v>33</v>
      </c>
      <c r="P90" s="2" t="s">
        <v>31</v>
      </c>
      <c r="Q90" s="2" t="s">
        <v>33</v>
      </c>
      <c r="R90" s="2" t="s">
        <v>33</v>
      </c>
      <c r="S90" s="2" t="s">
        <v>33</v>
      </c>
      <c r="T90" s="2" t="s">
        <v>33</v>
      </c>
      <c r="U90" s="2" t="s">
        <v>226</v>
      </c>
    </row>
    <row r="91" ht="15.75" customHeight="1">
      <c r="A91" s="3" t="s">
        <v>227</v>
      </c>
      <c r="B91" s="3" t="s">
        <v>53</v>
      </c>
      <c r="C91" s="3" t="s">
        <v>62</v>
      </c>
      <c r="D91" s="3" t="s">
        <v>56</v>
      </c>
      <c r="E91" s="3" t="s">
        <v>25</v>
      </c>
      <c r="F91" s="3" t="s">
        <v>25</v>
      </c>
      <c r="G91" s="3" t="s">
        <v>27</v>
      </c>
      <c r="H91" s="3" t="s">
        <v>57</v>
      </c>
      <c r="I91" s="3" t="s">
        <v>30</v>
      </c>
      <c r="J91" s="3" t="s">
        <v>30</v>
      </c>
      <c r="K91" s="3" t="s">
        <v>31</v>
      </c>
      <c r="L91" s="3" t="s">
        <v>33</v>
      </c>
      <c r="M91" s="3" t="s">
        <v>33</v>
      </c>
      <c r="N91" s="3" t="s">
        <v>31</v>
      </c>
      <c r="O91" s="3" t="s">
        <v>33</v>
      </c>
      <c r="P91" s="3" t="s">
        <v>31</v>
      </c>
      <c r="Q91" s="3" t="s">
        <v>31</v>
      </c>
      <c r="R91" s="3" t="s">
        <v>33</v>
      </c>
      <c r="S91" s="3" t="s">
        <v>33</v>
      </c>
      <c r="T91" s="3" t="s">
        <v>33</v>
      </c>
      <c r="U91" s="3" t="s">
        <v>228</v>
      </c>
    </row>
    <row r="92" ht="15.75" customHeight="1">
      <c r="A92" s="2" t="s">
        <v>229</v>
      </c>
      <c r="B92" s="2" t="s">
        <v>22</v>
      </c>
      <c r="C92" s="2" t="s">
        <v>62</v>
      </c>
      <c r="D92" s="2" t="s">
        <v>56</v>
      </c>
      <c r="E92" s="2" t="s">
        <v>25</v>
      </c>
      <c r="F92" s="2" t="s">
        <v>25</v>
      </c>
      <c r="G92" s="2" t="s">
        <v>27</v>
      </c>
      <c r="H92" s="2" t="s">
        <v>57</v>
      </c>
      <c r="I92" s="2" t="s">
        <v>30</v>
      </c>
      <c r="J92" s="2" t="s">
        <v>30</v>
      </c>
      <c r="K92" s="2" t="s">
        <v>31</v>
      </c>
      <c r="L92" s="2" t="s">
        <v>33</v>
      </c>
      <c r="M92" s="2" t="s">
        <v>33</v>
      </c>
      <c r="N92" s="2" t="s">
        <v>31</v>
      </c>
      <c r="O92" s="2" t="s">
        <v>33</v>
      </c>
      <c r="P92" s="2" t="s">
        <v>31</v>
      </c>
      <c r="Q92" s="2" t="s">
        <v>31</v>
      </c>
      <c r="R92" s="2" t="s">
        <v>33</v>
      </c>
      <c r="S92" s="2" t="s">
        <v>33</v>
      </c>
      <c r="T92" s="2" t="s">
        <v>33</v>
      </c>
      <c r="U92" s="2" t="s">
        <v>230</v>
      </c>
    </row>
    <row r="93" ht="15.75" customHeight="1">
      <c r="A93" s="3" t="s">
        <v>231</v>
      </c>
      <c r="B93" s="3" t="s">
        <v>36</v>
      </c>
      <c r="C93" s="3" t="s">
        <v>62</v>
      </c>
      <c r="D93" s="3" t="s">
        <v>56</v>
      </c>
      <c r="E93" s="3" t="s">
        <v>25</v>
      </c>
      <c r="F93" s="3" t="s">
        <v>25</v>
      </c>
      <c r="G93" s="3" t="s">
        <v>27</v>
      </c>
      <c r="H93" s="3" t="s">
        <v>57</v>
      </c>
      <c r="I93" s="3" t="s">
        <v>30</v>
      </c>
      <c r="J93" s="3" t="s">
        <v>30</v>
      </c>
      <c r="K93" s="3" t="s">
        <v>31</v>
      </c>
      <c r="L93" s="3" t="s">
        <v>33</v>
      </c>
      <c r="M93" s="3" t="s">
        <v>33</v>
      </c>
      <c r="N93" s="3" t="s">
        <v>31</v>
      </c>
      <c r="O93" s="3" t="s">
        <v>33</v>
      </c>
      <c r="P93" s="3" t="s">
        <v>31</v>
      </c>
      <c r="Q93" s="3" t="s">
        <v>31</v>
      </c>
      <c r="R93" s="3" t="s">
        <v>33</v>
      </c>
      <c r="S93" s="3" t="s">
        <v>33</v>
      </c>
      <c r="T93" s="3" t="s">
        <v>33</v>
      </c>
      <c r="U93" s="3" t="s">
        <v>232</v>
      </c>
    </row>
    <row r="94" ht="15.75" customHeight="1">
      <c r="A94" s="2" t="s">
        <v>233</v>
      </c>
      <c r="B94" s="2" t="s">
        <v>40</v>
      </c>
      <c r="C94" s="2" t="s">
        <v>62</v>
      </c>
      <c r="D94" s="2" t="s">
        <v>56</v>
      </c>
      <c r="E94" s="2" t="s">
        <v>25</v>
      </c>
      <c r="F94" s="2" t="s">
        <v>25</v>
      </c>
      <c r="G94" s="2" t="s">
        <v>27</v>
      </c>
      <c r="H94" s="2" t="s">
        <v>57</v>
      </c>
      <c r="I94" s="2" t="s">
        <v>30</v>
      </c>
      <c r="J94" s="2" t="s">
        <v>30</v>
      </c>
      <c r="K94" s="2" t="s">
        <v>31</v>
      </c>
      <c r="L94" s="2" t="s">
        <v>33</v>
      </c>
      <c r="M94" s="2" t="s">
        <v>33</v>
      </c>
      <c r="N94" s="2" t="s">
        <v>31</v>
      </c>
      <c r="O94" s="2" t="s">
        <v>33</v>
      </c>
      <c r="P94" s="2" t="s">
        <v>31</v>
      </c>
      <c r="Q94" s="2" t="s">
        <v>31</v>
      </c>
      <c r="R94" s="2" t="s">
        <v>33</v>
      </c>
      <c r="S94" s="2" t="s">
        <v>33</v>
      </c>
      <c r="T94" s="2" t="s">
        <v>33</v>
      </c>
      <c r="U94" s="2" t="s">
        <v>234</v>
      </c>
    </row>
    <row r="95" ht="15.75" customHeight="1">
      <c r="A95" s="3" t="s">
        <v>235</v>
      </c>
      <c r="B95" s="3" t="s">
        <v>47</v>
      </c>
      <c r="C95" s="3" t="s">
        <v>173</v>
      </c>
      <c r="D95" s="3" t="s">
        <v>56</v>
      </c>
      <c r="E95" s="3" t="s">
        <v>25</v>
      </c>
      <c r="F95" s="3" t="s">
        <v>25</v>
      </c>
      <c r="G95" s="3" t="s">
        <v>174</v>
      </c>
      <c r="H95" s="3" t="s">
        <v>57</v>
      </c>
      <c r="I95" s="3" t="s">
        <v>30</v>
      </c>
      <c r="J95" s="3" t="s">
        <v>30</v>
      </c>
      <c r="K95" s="3" t="s">
        <v>33</v>
      </c>
      <c r="L95" s="3" t="s">
        <v>33</v>
      </c>
      <c r="M95" s="3" t="s">
        <v>31</v>
      </c>
      <c r="N95" s="3" t="s">
        <v>31</v>
      </c>
      <c r="O95" s="3" t="s">
        <v>33</v>
      </c>
      <c r="P95" s="3" t="s">
        <v>31</v>
      </c>
      <c r="Q95" s="3" t="s">
        <v>33</v>
      </c>
      <c r="R95" s="3" t="s">
        <v>33</v>
      </c>
      <c r="S95" s="3" t="s">
        <v>31</v>
      </c>
      <c r="T95" s="3" t="s">
        <v>33</v>
      </c>
      <c r="U95" s="3" t="s">
        <v>236</v>
      </c>
    </row>
    <row r="96" ht="15.75" customHeight="1">
      <c r="A96" s="2" t="s">
        <v>237</v>
      </c>
      <c r="B96" s="2" t="s">
        <v>50</v>
      </c>
      <c r="C96" s="2" t="s">
        <v>177</v>
      </c>
      <c r="D96" s="2" t="s">
        <v>56</v>
      </c>
      <c r="E96" s="2" t="s">
        <v>25</v>
      </c>
      <c r="F96" s="2" t="s">
        <v>25</v>
      </c>
      <c r="G96" s="2" t="s">
        <v>57</v>
      </c>
      <c r="H96" s="2" t="s">
        <v>57</v>
      </c>
      <c r="I96" s="2" t="s">
        <v>30</v>
      </c>
      <c r="J96" s="2" t="s">
        <v>30</v>
      </c>
      <c r="K96" s="2" t="s">
        <v>31</v>
      </c>
      <c r="L96" s="2" t="s">
        <v>33</v>
      </c>
      <c r="M96" s="2" t="s">
        <v>31</v>
      </c>
      <c r="N96" s="2" t="s">
        <v>31</v>
      </c>
      <c r="O96" s="2" t="s">
        <v>33</v>
      </c>
      <c r="P96" s="2" t="s">
        <v>31</v>
      </c>
      <c r="Q96" s="2" t="s">
        <v>33</v>
      </c>
      <c r="R96" s="2" t="s">
        <v>33</v>
      </c>
      <c r="S96" s="2" t="s">
        <v>33</v>
      </c>
      <c r="T96" s="2" t="s">
        <v>33</v>
      </c>
      <c r="U96" s="2" t="s">
        <v>238</v>
      </c>
    </row>
    <row r="97" ht="15.75" customHeight="1">
      <c r="A97" s="3" t="s">
        <v>239</v>
      </c>
      <c r="B97" s="3" t="s">
        <v>53</v>
      </c>
      <c r="C97" s="3" t="s">
        <v>62</v>
      </c>
      <c r="D97" s="3" t="s">
        <v>56</v>
      </c>
      <c r="E97" s="3" t="s">
        <v>25</v>
      </c>
      <c r="F97" s="3" t="s">
        <v>25</v>
      </c>
      <c r="G97" s="3" t="s">
        <v>27</v>
      </c>
      <c r="H97" s="3" t="s">
        <v>57</v>
      </c>
      <c r="I97" s="3" t="s">
        <v>30</v>
      </c>
      <c r="J97" s="3" t="s">
        <v>30</v>
      </c>
      <c r="K97" s="3" t="s">
        <v>31</v>
      </c>
      <c r="L97" s="3" t="s">
        <v>33</v>
      </c>
      <c r="M97" s="3" t="s">
        <v>33</v>
      </c>
      <c r="N97" s="3" t="s">
        <v>31</v>
      </c>
      <c r="O97" s="3" t="s">
        <v>33</v>
      </c>
      <c r="P97" s="3" t="s">
        <v>31</v>
      </c>
      <c r="Q97" s="3" t="s">
        <v>31</v>
      </c>
      <c r="R97" s="3" t="s">
        <v>33</v>
      </c>
      <c r="S97" s="3" t="s">
        <v>33</v>
      </c>
      <c r="T97" s="3" t="s">
        <v>33</v>
      </c>
      <c r="U97" s="3" t="s">
        <v>240</v>
      </c>
    </row>
    <row r="98" ht="15.75" customHeight="1">
      <c r="A98" s="2" t="s">
        <v>241</v>
      </c>
      <c r="B98" s="2" t="s">
        <v>22</v>
      </c>
      <c r="C98" s="2" t="s">
        <v>173</v>
      </c>
      <c r="D98" s="2" t="s">
        <v>56</v>
      </c>
      <c r="E98" s="2" t="s">
        <v>25</v>
      </c>
      <c r="F98" s="2" t="s">
        <v>25</v>
      </c>
      <c r="G98" s="2" t="s">
        <v>174</v>
      </c>
      <c r="H98" s="2" t="s">
        <v>57</v>
      </c>
      <c r="I98" s="2" t="s">
        <v>30</v>
      </c>
      <c r="J98" s="2" t="s">
        <v>30</v>
      </c>
      <c r="K98" s="2" t="s">
        <v>33</v>
      </c>
      <c r="L98" s="2" t="s">
        <v>33</v>
      </c>
      <c r="M98" s="2" t="s">
        <v>31</v>
      </c>
      <c r="N98" s="2" t="s">
        <v>31</v>
      </c>
      <c r="O98" s="2" t="s">
        <v>33</v>
      </c>
      <c r="P98" s="2" t="s">
        <v>31</v>
      </c>
      <c r="Q98" s="2" t="s">
        <v>33</v>
      </c>
      <c r="R98" s="2" t="s">
        <v>33</v>
      </c>
      <c r="S98" s="2" t="s">
        <v>31</v>
      </c>
      <c r="T98" s="2" t="s">
        <v>33</v>
      </c>
      <c r="U98" s="2" t="s">
        <v>242</v>
      </c>
    </row>
    <row r="99" ht="15.75" customHeight="1">
      <c r="A99" s="3" t="s">
        <v>243</v>
      </c>
      <c r="B99" s="3" t="s">
        <v>36</v>
      </c>
      <c r="C99" s="3" t="s">
        <v>173</v>
      </c>
      <c r="D99" s="3" t="s">
        <v>56</v>
      </c>
      <c r="E99" s="3" t="s">
        <v>25</v>
      </c>
      <c r="F99" s="3" t="s">
        <v>25</v>
      </c>
      <c r="G99" s="3" t="s">
        <v>174</v>
      </c>
      <c r="H99" s="3" t="s">
        <v>57</v>
      </c>
      <c r="I99" s="3" t="s">
        <v>30</v>
      </c>
      <c r="J99" s="3" t="s">
        <v>30</v>
      </c>
      <c r="K99" s="3" t="s">
        <v>33</v>
      </c>
      <c r="L99" s="3" t="s">
        <v>33</v>
      </c>
      <c r="M99" s="3" t="s">
        <v>31</v>
      </c>
      <c r="N99" s="3" t="s">
        <v>31</v>
      </c>
      <c r="O99" s="3" t="s">
        <v>33</v>
      </c>
      <c r="P99" s="3" t="s">
        <v>31</v>
      </c>
      <c r="Q99" s="3" t="s">
        <v>33</v>
      </c>
      <c r="R99" s="3" t="s">
        <v>33</v>
      </c>
      <c r="S99" s="3" t="s">
        <v>31</v>
      </c>
      <c r="T99" s="3" t="s">
        <v>33</v>
      </c>
      <c r="U99" s="3" t="s">
        <v>244</v>
      </c>
    </row>
    <row r="100" ht="15.75" customHeight="1">
      <c r="A100" s="2" t="s">
        <v>245</v>
      </c>
      <c r="B100" s="2" t="s">
        <v>40</v>
      </c>
      <c r="C100" s="2" t="s">
        <v>173</v>
      </c>
      <c r="D100" s="2" t="s">
        <v>56</v>
      </c>
      <c r="E100" s="2" t="s">
        <v>25</v>
      </c>
      <c r="F100" s="2" t="s">
        <v>25</v>
      </c>
      <c r="G100" s="2" t="s">
        <v>174</v>
      </c>
      <c r="H100" s="2" t="s">
        <v>57</v>
      </c>
      <c r="I100" s="2" t="s">
        <v>30</v>
      </c>
      <c r="J100" s="2" t="s">
        <v>30</v>
      </c>
      <c r="K100" s="2" t="s">
        <v>33</v>
      </c>
      <c r="L100" s="2" t="s">
        <v>33</v>
      </c>
      <c r="M100" s="2" t="s">
        <v>31</v>
      </c>
      <c r="N100" s="2" t="s">
        <v>31</v>
      </c>
      <c r="O100" s="2" t="s">
        <v>33</v>
      </c>
      <c r="P100" s="2" t="s">
        <v>31</v>
      </c>
      <c r="Q100" s="2" t="s">
        <v>33</v>
      </c>
      <c r="R100" s="2" t="s">
        <v>33</v>
      </c>
      <c r="S100" s="2" t="s">
        <v>31</v>
      </c>
      <c r="T100" s="2" t="s">
        <v>33</v>
      </c>
      <c r="U100" s="2" t="s">
        <v>246</v>
      </c>
    </row>
    <row r="101" ht="15.75" customHeight="1">
      <c r="A101" s="3" t="s">
        <v>247</v>
      </c>
      <c r="B101" s="3" t="s">
        <v>47</v>
      </c>
      <c r="C101" s="3" t="s">
        <v>173</v>
      </c>
      <c r="D101" s="3" t="s">
        <v>56</v>
      </c>
      <c r="E101" s="3" t="s">
        <v>25</v>
      </c>
      <c r="F101" s="3" t="s">
        <v>25</v>
      </c>
      <c r="G101" s="3" t="s">
        <v>174</v>
      </c>
      <c r="H101" s="3" t="s">
        <v>57</v>
      </c>
      <c r="I101" s="3" t="s">
        <v>30</v>
      </c>
      <c r="J101" s="3" t="s">
        <v>30</v>
      </c>
      <c r="K101" s="3" t="s">
        <v>33</v>
      </c>
      <c r="L101" s="3" t="s">
        <v>33</v>
      </c>
      <c r="M101" s="3" t="s">
        <v>31</v>
      </c>
      <c r="N101" s="3" t="s">
        <v>31</v>
      </c>
      <c r="O101" s="3" t="s">
        <v>33</v>
      </c>
      <c r="P101" s="3" t="s">
        <v>31</v>
      </c>
      <c r="Q101" s="3" t="s">
        <v>33</v>
      </c>
      <c r="R101" s="3" t="s">
        <v>33</v>
      </c>
      <c r="S101" s="3" t="s">
        <v>31</v>
      </c>
      <c r="T101" s="3" t="s">
        <v>33</v>
      </c>
      <c r="U101" s="3" t="s">
        <v>248</v>
      </c>
    </row>
    <row r="102" ht="15.75" customHeight="1">
      <c r="A102" s="2" t="s">
        <v>249</v>
      </c>
      <c r="B102" s="2" t="s">
        <v>50</v>
      </c>
      <c r="C102" s="2" t="s">
        <v>177</v>
      </c>
      <c r="D102" s="2" t="s">
        <v>56</v>
      </c>
      <c r="E102" s="2" t="s">
        <v>25</v>
      </c>
      <c r="F102" s="2" t="s">
        <v>25</v>
      </c>
      <c r="G102" s="2" t="s">
        <v>57</v>
      </c>
      <c r="H102" s="2" t="s">
        <v>57</v>
      </c>
      <c r="I102" s="2" t="s">
        <v>30</v>
      </c>
      <c r="J102" s="2" t="s">
        <v>30</v>
      </c>
      <c r="K102" s="2" t="s">
        <v>31</v>
      </c>
      <c r="L102" s="2" t="s">
        <v>33</v>
      </c>
      <c r="M102" s="2" t="s">
        <v>31</v>
      </c>
      <c r="N102" s="2" t="s">
        <v>31</v>
      </c>
      <c r="O102" s="2" t="s">
        <v>33</v>
      </c>
      <c r="P102" s="2" t="s">
        <v>31</v>
      </c>
      <c r="Q102" s="2" t="s">
        <v>33</v>
      </c>
      <c r="R102" s="2" t="s">
        <v>33</v>
      </c>
      <c r="S102" s="2" t="s">
        <v>33</v>
      </c>
      <c r="T102" s="2" t="s">
        <v>33</v>
      </c>
      <c r="U102" s="2" t="s">
        <v>250</v>
      </c>
    </row>
    <row r="103" ht="15.75" customHeight="1">
      <c r="A103" s="3" t="s">
        <v>251</v>
      </c>
      <c r="B103" s="3" t="s">
        <v>53</v>
      </c>
      <c r="C103" s="3" t="s">
        <v>173</v>
      </c>
      <c r="D103" s="3" t="s">
        <v>56</v>
      </c>
      <c r="E103" s="3" t="s">
        <v>25</v>
      </c>
      <c r="F103" s="3" t="s">
        <v>25</v>
      </c>
      <c r="G103" s="3" t="s">
        <v>174</v>
      </c>
      <c r="H103" s="3" t="s">
        <v>57</v>
      </c>
      <c r="I103" s="3" t="s">
        <v>30</v>
      </c>
      <c r="J103" s="3" t="s">
        <v>30</v>
      </c>
      <c r="K103" s="3" t="s">
        <v>33</v>
      </c>
      <c r="L103" s="3" t="s">
        <v>33</v>
      </c>
      <c r="M103" s="3" t="s">
        <v>31</v>
      </c>
      <c r="N103" s="3" t="s">
        <v>31</v>
      </c>
      <c r="O103" s="3" t="s">
        <v>33</v>
      </c>
      <c r="P103" s="3" t="s">
        <v>31</v>
      </c>
      <c r="Q103" s="3" t="s">
        <v>33</v>
      </c>
      <c r="R103" s="3" t="s">
        <v>33</v>
      </c>
      <c r="S103" s="3" t="s">
        <v>31</v>
      </c>
      <c r="T103" s="3" t="s">
        <v>33</v>
      </c>
      <c r="U103" s="3" t="s">
        <v>252</v>
      </c>
    </row>
    <row r="104" ht="15.75" customHeight="1">
      <c r="A104" s="2" t="s">
        <v>253</v>
      </c>
      <c r="B104" s="2" t="s">
        <v>22</v>
      </c>
      <c r="C104" s="2" t="s">
        <v>173</v>
      </c>
      <c r="D104" s="2" t="s">
        <v>56</v>
      </c>
      <c r="E104" s="2" t="s">
        <v>25</v>
      </c>
      <c r="F104" s="2" t="s">
        <v>25</v>
      </c>
      <c r="G104" s="2" t="s">
        <v>174</v>
      </c>
      <c r="H104" s="2" t="s">
        <v>57</v>
      </c>
      <c r="I104" s="2" t="s">
        <v>30</v>
      </c>
      <c r="J104" s="2" t="s">
        <v>30</v>
      </c>
      <c r="K104" s="2" t="s">
        <v>33</v>
      </c>
      <c r="L104" s="2" t="s">
        <v>33</v>
      </c>
      <c r="M104" s="2" t="s">
        <v>31</v>
      </c>
      <c r="N104" s="2" t="s">
        <v>31</v>
      </c>
      <c r="O104" s="2" t="s">
        <v>33</v>
      </c>
      <c r="P104" s="2" t="s">
        <v>31</v>
      </c>
      <c r="Q104" s="2" t="s">
        <v>33</v>
      </c>
      <c r="R104" s="2" t="s">
        <v>33</v>
      </c>
      <c r="S104" s="2" t="s">
        <v>31</v>
      </c>
      <c r="T104" s="2" t="s">
        <v>33</v>
      </c>
      <c r="U104" s="2" t="s">
        <v>254</v>
      </c>
    </row>
    <row r="105" ht="15.75" customHeight="1">
      <c r="A105" s="3" t="s">
        <v>255</v>
      </c>
      <c r="B105" s="3" t="s">
        <v>36</v>
      </c>
      <c r="C105" s="3" t="s">
        <v>173</v>
      </c>
      <c r="D105" s="3" t="s">
        <v>56</v>
      </c>
      <c r="E105" s="3" t="s">
        <v>25</v>
      </c>
      <c r="F105" s="3" t="s">
        <v>25</v>
      </c>
      <c r="G105" s="3" t="s">
        <v>174</v>
      </c>
      <c r="H105" s="3" t="s">
        <v>57</v>
      </c>
      <c r="I105" s="3" t="s">
        <v>30</v>
      </c>
      <c r="J105" s="3" t="s">
        <v>30</v>
      </c>
      <c r="K105" s="3" t="s">
        <v>33</v>
      </c>
      <c r="L105" s="3" t="s">
        <v>33</v>
      </c>
      <c r="M105" s="3" t="s">
        <v>31</v>
      </c>
      <c r="N105" s="3" t="s">
        <v>31</v>
      </c>
      <c r="O105" s="3" t="s">
        <v>33</v>
      </c>
      <c r="P105" s="3" t="s">
        <v>31</v>
      </c>
      <c r="Q105" s="3" t="s">
        <v>33</v>
      </c>
      <c r="R105" s="3" t="s">
        <v>33</v>
      </c>
      <c r="S105" s="3" t="s">
        <v>31</v>
      </c>
      <c r="T105" s="3" t="s">
        <v>33</v>
      </c>
      <c r="U105" s="3" t="s">
        <v>256</v>
      </c>
    </row>
    <row r="106" ht="15.75" customHeight="1">
      <c r="A106" s="2" t="s">
        <v>257</v>
      </c>
      <c r="B106" s="2" t="s">
        <v>40</v>
      </c>
      <c r="C106" s="2" t="s">
        <v>173</v>
      </c>
      <c r="D106" s="2" t="s">
        <v>56</v>
      </c>
      <c r="E106" s="2" t="s">
        <v>25</v>
      </c>
      <c r="F106" s="2" t="s">
        <v>25</v>
      </c>
      <c r="G106" s="2" t="s">
        <v>174</v>
      </c>
      <c r="H106" s="2" t="s">
        <v>57</v>
      </c>
      <c r="I106" s="2" t="s">
        <v>30</v>
      </c>
      <c r="J106" s="2" t="s">
        <v>30</v>
      </c>
      <c r="K106" s="2" t="s">
        <v>33</v>
      </c>
      <c r="L106" s="2" t="s">
        <v>33</v>
      </c>
      <c r="M106" s="2" t="s">
        <v>31</v>
      </c>
      <c r="N106" s="2" t="s">
        <v>31</v>
      </c>
      <c r="O106" s="2" t="s">
        <v>33</v>
      </c>
      <c r="P106" s="2" t="s">
        <v>31</v>
      </c>
      <c r="Q106" s="2" t="s">
        <v>33</v>
      </c>
      <c r="R106" s="2" t="s">
        <v>33</v>
      </c>
      <c r="S106" s="2" t="s">
        <v>31</v>
      </c>
      <c r="T106" s="2" t="s">
        <v>33</v>
      </c>
      <c r="U106" s="2" t="s">
        <v>258</v>
      </c>
    </row>
    <row r="107" ht="15.75" customHeight="1">
      <c r="A107" s="3" t="s">
        <v>259</v>
      </c>
      <c r="B107" s="3" t="s">
        <v>47</v>
      </c>
      <c r="C107" s="3" t="s">
        <v>173</v>
      </c>
      <c r="D107" s="3" t="s">
        <v>56</v>
      </c>
      <c r="E107" s="3" t="s">
        <v>25</v>
      </c>
      <c r="F107" s="3" t="s">
        <v>25</v>
      </c>
      <c r="G107" s="3" t="s">
        <v>174</v>
      </c>
      <c r="H107" s="3" t="s">
        <v>57</v>
      </c>
      <c r="I107" s="3" t="s">
        <v>30</v>
      </c>
      <c r="J107" s="3" t="s">
        <v>30</v>
      </c>
      <c r="K107" s="3" t="s">
        <v>33</v>
      </c>
      <c r="L107" s="3" t="s">
        <v>33</v>
      </c>
      <c r="M107" s="3" t="s">
        <v>31</v>
      </c>
      <c r="N107" s="3" t="s">
        <v>31</v>
      </c>
      <c r="O107" s="3" t="s">
        <v>33</v>
      </c>
      <c r="P107" s="3" t="s">
        <v>31</v>
      </c>
      <c r="Q107" s="3" t="s">
        <v>33</v>
      </c>
      <c r="R107" s="3" t="s">
        <v>33</v>
      </c>
      <c r="S107" s="3" t="s">
        <v>31</v>
      </c>
      <c r="T107" s="3" t="s">
        <v>33</v>
      </c>
      <c r="U107" s="3" t="s">
        <v>260</v>
      </c>
    </row>
    <row r="108" ht="15.75" customHeight="1">
      <c r="A108" s="2" t="s">
        <v>261</v>
      </c>
      <c r="B108" s="2" t="s">
        <v>50</v>
      </c>
      <c r="C108" s="2" t="s">
        <v>177</v>
      </c>
      <c r="D108" s="2" t="s">
        <v>56</v>
      </c>
      <c r="E108" s="2" t="s">
        <v>25</v>
      </c>
      <c r="F108" s="2" t="s">
        <v>25</v>
      </c>
      <c r="G108" s="2" t="s">
        <v>57</v>
      </c>
      <c r="H108" s="2" t="s">
        <v>57</v>
      </c>
      <c r="I108" s="2" t="s">
        <v>30</v>
      </c>
      <c r="J108" s="2" t="s">
        <v>30</v>
      </c>
      <c r="K108" s="2" t="s">
        <v>31</v>
      </c>
      <c r="L108" s="2" t="s">
        <v>33</v>
      </c>
      <c r="M108" s="2" t="s">
        <v>31</v>
      </c>
      <c r="N108" s="2" t="s">
        <v>31</v>
      </c>
      <c r="O108" s="2" t="s">
        <v>33</v>
      </c>
      <c r="P108" s="2" t="s">
        <v>31</v>
      </c>
      <c r="Q108" s="2" t="s">
        <v>33</v>
      </c>
      <c r="R108" s="2" t="s">
        <v>33</v>
      </c>
      <c r="S108" s="2" t="s">
        <v>33</v>
      </c>
      <c r="T108" s="2" t="s">
        <v>33</v>
      </c>
      <c r="U108" s="2" t="s">
        <v>262</v>
      </c>
    </row>
    <row r="109" ht="15.75" customHeight="1">
      <c r="A109" s="3" t="s">
        <v>263</v>
      </c>
      <c r="B109" s="3" t="s">
        <v>53</v>
      </c>
      <c r="C109" s="3" t="s">
        <v>173</v>
      </c>
      <c r="D109" s="3" t="s">
        <v>56</v>
      </c>
      <c r="E109" s="3" t="s">
        <v>25</v>
      </c>
      <c r="F109" s="3" t="s">
        <v>25</v>
      </c>
      <c r="G109" s="3" t="s">
        <v>174</v>
      </c>
      <c r="H109" s="3" t="s">
        <v>57</v>
      </c>
      <c r="I109" s="3" t="s">
        <v>30</v>
      </c>
      <c r="J109" s="3" t="s">
        <v>30</v>
      </c>
      <c r="K109" s="3" t="s">
        <v>33</v>
      </c>
      <c r="L109" s="3" t="s">
        <v>33</v>
      </c>
      <c r="M109" s="3" t="s">
        <v>31</v>
      </c>
      <c r="N109" s="3" t="s">
        <v>31</v>
      </c>
      <c r="O109" s="3" t="s">
        <v>33</v>
      </c>
      <c r="P109" s="3" t="s">
        <v>31</v>
      </c>
      <c r="Q109" s="3" t="s">
        <v>33</v>
      </c>
      <c r="R109" s="3" t="s">
        <v>33</v>
      </c>
      <c r="S109" s="3" t="s">
        <v>31</v>
      </c>
      <c r="T109" s="3" t="s">
        <v>33</v>
      </c>
      <c r="U109" s="3" t="s">
        <v>264</v>
      </c>
    </row>
    <row r="110" ht="15.75" customHeight="1">
      <c r="A110" s="2" t="s">
        <v>265</v>
      </c>
      <c r="B110" s="2" t="s">
        <v>22</v>
      </c>
      <c r="C110" s="2" t="s">
        <v>173</v>
      </c>
      <c r="D110" s="2" t="s">
        <v>56</v>
      </c>
      <c r="E110" s="2" t="s">
        <v>25</v>
      </c>
      <c r="F110" s="2" t="s">
        <v>25</v>
      </c>
      <c r="G110" s="2" t="s">
        <v>174</v>
      </c>
      <c r="H110" s="2" t="s">
        <v>57</v>
      </c>
      <c r="I110" s="2" t="s">
        <v>30</v>
      </c>
      <c r="J110" s="2" t="s">
        <v>30</v>
      </c>
      <c r="K110" s="2" t="s">
        <v>33</v>
      </c>
      <c r="L110" s="2" t="s">
        <v>33</v>
      </c>
      <c r="M110" s="2" t="s">
        <v>31</v>
      </c>
      <c r="N110" s="2" t="s">
        <v>31</v>
      </c>
      <c r="O110" s="2" t="s">
        <v>33</v>
      </c>
      <c r="P110" s="2" t="s">
        <v>31</v>
      </c>
      <c r="Q110" s="2" t="s">
        <v>33</v>
      </c>
      <c r="R110" s="2" t="s">
        <v>33</v>
      </c>
      <c r="S110" s="2" t="s">
        <v>31</v>
      </c>
      <c r="T110" s="2" t="s">
        <v>33</v>
      </c>
      <c r="U110" s="2" t="s">
        <v>266</v>
      </c>
    </row>
    <row r="111" ht="15.75" customHeight="1">
      <c r="A111" s="3" t="s">
        <v>267</v>
      </c>
      <c r="B111" s="3" t="s">
        <v>36</v>
      </c>
      <c r="C111" s="3" t="s">
        <v>173</v>
      </c>
      <c r="D111" s="3" t="s">
        <v>56</v>
      </c>
      <c r="E111" s="3" t="s">
        <v>25</v>
      </c>
      <c r="F111" s="3" t="s">
        <v>25</v>
      </c>
      <c r="G111" s="3" t="s">
        <v>174</v>
      </c>
      <c r="H111" s="3" t="s">
        <v>57</v>
      </c>
      <c r="I111" s="3" t="s">
        <v>30</v>
      </c>
      <c r="J111" s="3" t="s">
        <v>30</v>
      </c>
      <c r="K111" s="3" t="s">
        <v>33</v>
      </c>
      <c r="L111" s="3" t="s">
        <v>33</v>
      </c>
      <c r="M111" s="3" t="s">
        <v>31</v>
      </c>
      <c r="N111" s="3" t="s">
        <v>31</v>
      </c>
      <c r="O111" s="3" t="s">
        <v>33</v>
      </c>
      <c r="P111" s="3" t="s">
        <v>31</v>
      </c>
      <c r="Q111" s="3" t="s">
        <v>33</v>
      </c>
      <c r="R111" s="3" t="s">
        <v>33</v>
      </c>
      <c r="S111" s="3" t="s">
        <v>31</v>
      </c>
      <c r="T111" s="3" t="s">
        <v>33</v>
      </c>
      <c r="U111" s="3" t="s">
        <v>268</v>
      </c>
    </row>
    <row r="112" ht="15.75" customHeight="1">
      <c r="A112" s="2" t="s">
        <v>269</v>
      </c>
      <c r="B112" s="2" t="s">
        <v>40</v>
      </c>
      <c r="C112" s="2" t="s">
        <v>173</v>
      </c>
      <c r="D112" s="2" t="s">
        <v>56</v>
      </c>
      <c r="E112" s="2" t="s">
        <v>25</v>
      </c>
      <c r="F112" s="2" t="s">
        <v>25</v>
      </c>
      <c r="G112" s="2" t="s">
        <v>174</v>
      </c>
      <c r="H112" s="2" t="s">
        <v>57</v>
      </c>
      <c r="I112" s="2" t="s">
        <v>30</v>
      </c>
      <c r="J112" s="2" t="s">
        <v>30</v>
      </c>
      <c r="K112" s="2" t="s">
        <v>33</v>
      </c>
      <c r="L112" s="2" t="s">
        <v>33</v>
      </c>
      <c r="M112" s="2" t="s">
        <v>31</v>
      </c>
      <c r="N112" s="2" t="s">
        <v>31</v>
      </c>
      <c r="O112" s="2" t="s">
        <v>33</v>
      </c>
      <c r="P112" s="2" t="s">
        <v>31</v>
      </c>
      <c r="Q112" s="2" t="s">
        <v>33</v>
      </c>
      <c r="R112" s="2" t="s">
        <v>33</v>
      </c>
      <c r="S112" s="2" t="s">
        <v>31</v>
      </c>
      <c r="T112" s="2" t="s">
        <v>33</v>
      </c>
      <c r="U112" s="2" t="s">
        <v>270</v>
      </c>
    </row>
    <row r="113" ht="15.75" customHeight="1">
      <c r="A113" s="3" t="s">
        <v>271</v>
      </c>
      <c r="B113" s="3" t="s">
        <v>47</v>
      </c>
      <c r="C113" s="3" t="s">
        <v>173</v>
      </c>
      <c r="D113" s="3" t="s">
        <v>56</v>
      </c>
      <c r="E113" s="3" t="s">
        <v>25</v>
      </c>
      <c r="F113" s="3" t="s">
        <v>25</v>
      </c>
      <c r="G113" s="3" t="s">
        <v>174</v>
      </c>
      <c r="H113" s="3" t="s">
        <v>57</v>
      </c>
      <c r="I113" s="3" t="s">
        <v>30</v>
      </c>
      <c r="J113" s="3" t="s">
        <v>30</v>
      </c>
      <c r="K113" s="3" t="s">
        <v>33</v>
      </c>
      <c r="L113" s="3" t="s">
        <v>33</v>
      </c>
      <c r="M113" s="3" t="s">
        <v>31</v>
      </c>
      <c r="N113" s="3" t="s">
        <v>31</v>
      </c>
      <c r="O113" s="3" t="s">
        <v>33</v>
      </c>
      <c r="P113" s="3" t="s">
        <v>31</v>
      </c>
      <c r="Q113" s="3" t="s">
        <v>33</v>
      </c>
      <c r="R113" s="3" t="s">
        <v>33</v>
      </c>
      <c r="S113" s="3" t="s">
        <v>31</v>
      </c>
      <c r="T113" s="3" t="s">
        <v>33</v>
      </c>
      <c r="U113" s="3" t="s">
        <v>272</v>
      </c>
    </row>
    <row r="114" ht="15.75" customHeight="1">
      <c r="A114" s="2" t="s">
        <v>273</v>
      </c>
      <c r="B114" s="2" t="s">
        <v>50</v>
      </c>
      <c r="C114" s="2" t="s">
        <v>177</v>
      </c>
      <c r="D114" s="2" t="s">
        <v>56</v>
      </c>
      <c r="E114" s="2" t="s">
        <v>25</v>
      </c>
      <c r="F114" s="2" t="s">
        <v>25</v>
      </c>
      <c r="G114" s="2" t="s">
        <v>57</v>
      </c>
      <c r="H114" s="2" t="s">
        <v>57</v>
      </c>
      <c r="I114" s="2" t="s">
        <v>30</v>
      </c>
      <c r="J114" s="2" t="s">
        <v>30</v>
      </c>
      <c r="K114" s="2" t="s">
        <v>31</v>
      </c>
      <c r="L114" s="2" t="s">
        <v>33</v>
      </c>
      <c r="M114" s="2" t="s">
        <v>31</v>
      </c>
      <c r="N114" s="2" t="s">
        <v>31</v>
      </c>
      <c r="O114" s="2" t="s">
        <v>33</v>
      </c>
      <c r="P114" s="2" t="s">
        <v>31</v>
      </c>
      <c r="Q114" s="2" t="s">
        <v>33</v>
      </c>
      <c r="R114" s="2" t="s">
        <v>33</v>
      </c>
      <c r="S114" s="2" t="s">
        <v>33</v>
      </c>
      <c r="T114" s="2" t="s">
        <v>33</v>
      </c>
      <c r="U114" s="2" t="s">
        <v>274</v>
      </c>
    </row>
    <row r="115" ht="15.75" customHeight="1">
      <c r="A115" s="3" t="s">
        <v>275</v>
      </c>
      <c r="B115" s="3" t="s">
        <v>53</v>
      </c>
      <c r="C115" s="3" t="s">
        <v>173</v>
      </c>
      <c r="D115" s="3" t="s">
        <v>56</v>
      </c>
      <c r="E115" s="3" t="s">
        <v>25</v>
      </c>
      <c r="F115" s="3" t="s">
        <v>25</v>
      </c>
      <c r="G115" s="3" t="s">
        <v>174</v>
      </c>
      <c r="H115" s="3" t="s">
        <v>57</v>
      </c>
      <c r="I115" s="3" t="s">
        <v>30</v>
      </c>
      <c r="J115" s="3" t="s">
        <v>30</v>
      </c>
      <c r="K115" s="3" t="s">
        <v>33</v>
      </c>
      <c r="L115" s="3" t="s">
        <v>33</v>
      </c>
      <c r="M115" s="3" t="s">
        <v>31</v>
      </c>
      <c r="N115" s="3" t="s">
        <v>31</v>
      </c>
      <c r="O115" s="3" t="s">
        <v>33</v>
      </c>
      <c r="P115" s="3" t="s">
        <v>31</v>
      </c>
      <c r="Q115" s="3" t="s">
        <v>33</v>
      </c>
      <c r="R115" s="3" t="s">
        <v>33</v>
      </c>
      <c r="S115" s="3" t="s">
        <v>31</v>
      </c>
      <c r="T115" s="3" t="s">
        <v>33</v>
      </c>
      <c r="U115" s="3" t="s">
        <v>276</v>
      </c>
    </row>
    <row r="116" ht="15.75" customHeight="1">
      <c r="A116" s="2" t="s">
        <v>277</v>
      </c>
      <c r="B116" s="2" t="s">
        <v>22</v>
      </c>
      <c r="C116" s="2" t="s">
        <v>173</v>
      </c>
      <c r="D116" s="2" t="s">
        <v>56</v>
      </c>
      <c r="E116" s="2" t="s">
        <v>25</v>
      </c>
      <c r="F116" s="2" t="s">
        <v>25</v>
      </c>
      <c r="G116" s="2" t="s">
        <v>174</v>
      </c>
      <c r="H116" s="2" t="s">
        <v>57</v>
      </c>
      <c r="I116" s="2" t="s">
        <v>30</v>
      </c>
      <c r="J116" s="2" t="s">
        <v>30</v>
      </c>
      <c r="K116" s="2" t="s">
        <v>33</v>
      </c>
      <c r="L116" s="2" t="s">
        <v>33</v>
      </c>
      <c r="M116" s="2" t="s">
        <v>31</v>
      </c>
      <c r="N116" s="2" t="s">
        <v>31</v>
      </c>
      <c r="O116" s="2" t="s">
        <v>33</v>
      </c>
      <c r="P116" s="2" t="s">
        <v>31</v>
      </c>
      <c r="Q116" s="2" t="s">
        <v>33</v>
      </c>
      <c r="R116" s="2" t="s">
        <v>33</v>
      </c>
      <c r="S116" s="2" t="s">
        <v>31</v>
      </c>
      <c r="T116" s="2" t="s">
        <v>33</v>
      </c>
      <c r="U116" s="2" t="s">
        <v>278</v>
      </c>
    </row>
    <row r="117" ht="15.75" customHeight="1">
      <c r="A117" s="3" t="s">
        <v>279</v>
      </c>
      <c r="B117" s="3" t="s">
        <v>36</v>
      </c>
      <c r="C117" s="3" t="s">
        <v>173</v>
      </c>
      <c r="D117" s="3" t="s">
        <v>56</v>
      </c>
      <c r="E117" s="3" t="s">
        <v>25</v>
      </c>
      <c r="F117" s="3" t="s">
        <v>25</v>
      </c>
      <c r="G117" s="3" t="s">
        <v>174</v>
      </c>
      <c r="H117" s="3" t="s">
        <v>57</v>
      </c>
      <c r="I117" s="3" t="s">
        <v>30</v>
      </c>
      <c r="J117" s="3" t="s">
        <v>30</v>
      </c>
      <c r="K117" s="3" t="s">
        <v>33</v>
      </c>
      <c r="L117" s="3" t="s">
        <v>33</v>
      </c>
      <c r="M117" s="3" t="s">
        <v>31</v>
      </c>
      <c r="N117" s="3" t="s">
        <v>31</v>
      </c>
      <c r="O117" s="3" t="s">
        <v>33</v>
      </c>
      <c r="P117" s="3" t="s">
        <v>31</v>
      </c>
      <c r="Q117" s="3" t="s">
        <v>33</v>
      </c>
      <c r="R117" s="3" t="s">
        <v>33</v>
      </c>
      <c r="S117" s="3" t="s">
        <v>31</v>
      </c>
      <c r="T117" s="3" t="s">
        <v>33</v>
      </c>
      <c r="U117" s="3" t="s">
        <v>280</v>
      </c>
    </row>
    <row r="118" ht="15.75" customHeight="1">
      <c r="A118" s="2" t="s">
        <v>281</v>
      </c>
      <c r="B118" s="2" t="s">
        <v>40</v>
      </c>
      <c r="C118" s="2" t="s">
        <v>173</v>
      </c>
      <c r="D118" s="2" t="s">
        <v>56</v>
      </c>
      <c r="E118" s="2" t="s">
        <v>25</v>
      </c>
      <c r="F118" s="2" t="s">
        <v>25</v>
      </c>
      <c r="G118" s="2" t="s">
        <v>174</v>
      </c>
      <c r="H118" s="2" t="s">
        <v>57</v>
      </c>
      <c r="I118" s="2" t="s">
        <v>30</v>
      </c>
      <c r="J118" s="2" t="s">
        <v>30</v>
      </c>
      <c r="K118" s="2" t="s">
        <v>33</v>
      </c>
      <c r="L118" s="2" t="s">
        <v>33</v>
      </c>
      <c r="M118" s="2" t="s">
        <v>31</v>
      </c>
      <c r="N118" s="2" t="s">
        <v>31</v>
      </c>
      <c r="O118" s="2" t="s">
        <v>33</v>
      </c>
      <c r="P118" s="2" t="s">
        <v>31</v>
      </c>
      <c r="Q118" s="2" t="s">
        <v>33</v>
      </c>
      <c r="R118" s="2" t="s">
        <v>33</v>
      </c>
      <c r="S118" s="2" t="s">
        <v>31</v>
      </c>
      <c r="T118" s="2" t="s">
        <v>33</v>
      </c>
      <c r="U118" s="2" t="s">
        <v>282</v>
      </c>
    </row>
    <row r="119" ht="15.75" customHeight="1">
      <c r="A119" s="3" t="s">
        <v>283</v>
      </c>
      <c r="B119" s="3" t="s">
        <v>47</v>
      </c>
      <c r="C119" s="3" t="s">
        <v>173</v>
      </c>
      <c r="D119" s="3" t="s">
        <v>56</v>
      </c>
      <c r="E119" s="3" t="s">
        <v>25</v>
      </c>
      <c r="F119" s="3" t="s">
        <v>25</v>
      </c>
      <c r="G119" s="3" t="s">
        <v>174</v>
      </c>
      <c r="H119" s="3" t="s">
        <v>57</v>
      </c>
      <c r="I119" s="3" t="s">
        <v>30</v>
      </c>
      <c r="J119" s="3" t="s">
        <v>30</v>
      </c>
      <c r="K119" s="3" t="s">
        <v>33</v>
      </c>
      <c r="L119" s="3" t="s">
        <v>33</v>
      </c>
      <c r="M119" s="3" t="s">
        <v>31</v>
      </c>
      <c r="N119" s="3" t="s">
        <v>31</v>
      </c>
      <c r="O119" s="3" t="s">
        <v>33</v>
      </c>
      <c r="P119" s="3" t="s">
        <v>31</v>
      </c>
      <c r="Q119" s="3" t="s">
        <v>33</v>
      </c>
      <c r="R119" s="3" t="s">
        <v>33</v>
      </c>
      <c r="S119" s="3" t="s">
        <v>31</v>
      </c>
      <c r="T119" s="3" t="s">
        <v>33</v>
      </c>
      <c r="U119" s="3" t="s">
        <v>284</v>
      </c>
    </row>
    <row r="120" ht="15.75" customHeight="1">
      <c r="A120" s="2" t="s">
        <v>285</v>
      </c>
      <c r="B120" s="2" t="s">
        <v>50</v>
      </c>
      <c r="C120" s="2" t="s">
        <v>177</v>
      </c>
      <c r="D120" s="2" t="s">
        <v>56</v>
      </c>
      <c r="E120" s="2" t="s">
        <v>25</v>
      </c>
      <c r="F120" s="2" t="s">
        <v>25</v>
      </c>
      <c r="G120" s="2" t="s">
        <v>57</v>
      </c>
      <c r="H120" s="2" t="s">
        <v>57</v>
      </c>
      <c r="I120" s="2" t="s">
        <v>30</v>
      </c>
      <c r="J120" s="2" t="s">
        <v>30</v>
      </c>
      <c r="K120" s="2" t="s">
        <v>31</v>
      </c>
      <c r="L120" s="2" t="s">
        <v>33</v>
      </c>
      <c r="M120" s="2" t="s">
        <v>31</v>
      </c>
      <c r="N120" s="2" t="s">
        <v>31</v>
      </c>
      <c r="O120" s="2" t="s">
        <v>33</v>
      </c>
      <c r="P120" s="2" t="s">
        <v>31</v>
      </c>
      <c r="Q120" s="2" t="s">
        <v>33</v>
      </c>
      <c r="R120" s="2" t="s">
        <v>33</v>
      </c>
      <c r="S120" s="2" t="s">
        <v>33</v>
      </c>
      <c r="T120" s="2" t="s">
        <v>33</v>
      </c>
      <c r="U120" s="2" t="s">
        <v>286</v>
      </c>
    </row>
    <row r="121" ht="15.75" customHeight="1">
      <c r="A121" s="3" t="s">
        <v>287</v>
      </c>
      <c r="B121" s="3" t="s">
        <v>53</v>
      </c>
      <c r="C121" s="3" t="s">
        <v>173</v>
      </c>
      <c r="D121" s="3" t="s">
        <v>56</v>
      </c>
      <c r="E121" s="3" t="s">
        <v>25</v>
      </c>
      <c r="F121" s="3" t="s">
        <v>25</v>
      </c>
      <c r="G121" s="3" t="s">
        <v>174</v>
      </c>
      <c r="H121" s="3" t="s">
        <v>57</v>
      </c>
      <c r="I121" s="3" t="s">
        <v>30</v>
      </c>
      <c r="J121" s="3" t="s">
        <v>30</v>
      </c>
      <c r="K121" s="3" t="s">
        <v>33</v>
      </c>
      <c r="L121" s="3" t="s">
        <v>33</v>
      </c>
      <c r="M121" s="3" t="s">
        <v>31</v>
      </c>
      <c r="N121" s="3" t="s">
        <v>31</v>
      </c>
      <c r="O121" s="3" t="s">
        <v>33</v>
      </c>
      <c r="P121" s="3" t="s">
        <v>31</v>
      </c>
      <c r="Q121" s="3" t="s">
        <v>33</v>
      </c>
      <c r="R121" s="3" t="s">
        <v>33</v>
      </c>
      <c r="S121" s="3" t="s">
        <v>31</v>
      </c>
      <c r="T121" s="3" t="s">
        <v>33</v>
      </c>
      <c r="U121" s="3" t="s">
        <v>288</v>
      </c>
    </row>
    <row r="122" ht="15.75" customHeight="1">
      <c r="A122" s="2" t="s">
        <v>289</v>
      </c>
      <c r="B122" s="2" t="s">
        <v>22</v>
      </c>
      <c r="C122" s="2" t="s">
        <v>173</v>
      </c>
      <c r="D122" s="2" t="s">
        <v>56</v>
      </c>
      <c r="E122" s="2" t="s">
        <v>25</v>
      </c>
      <c r="F122" s="2" t="s">
        <v>25</v>
      </c>
      <c r="G122" s="2" t="s">
        <v>174</v>
      </c>
      <c r="H122" s="2" t="s">
        <v>57</v>
      </c>
      <c r="I122" s="2" t="s">
        <v>30</v>
      </c>
      <c r="J122" s="2" t="s">
        <v>30</v>
      </c>
      <c r="K122" s="2" t="s">
        <v>33</v>
      </c>
      <c r="L122" s="2" t="s">
        <v>33</v>
      </c>
      <c r="M122" s="2" t="s">
        <v>31</v>
      </c>
      <c r="N122" s="2" t="s">
        <v>31</v>
      </c>
      <c r="O122" s="2" t="s">
        <v>33</v>
      </c>
      <c r="P122" s="2" t="s">
        <v>31</v>
      </c>
      <c r="Q122" s="2" t="s">
        <v>33</v>
      </c>
      <c r="R122" s="2" t="s">
        <v>33</v>
      </c>
      <c r="S122" s="2" t="s">
        <v>31</v>
      </c>
      <c r="T122" s="2" t="s">
        <v>33</v>
      </c>
      <c r="U122" s="2" t="s">
        <v>290</v>
      </c>
    </row>
    <row r="123" ht="15.75" customHeight="1">
      <c r="A123" s="3" t="s">
        <v>291</v>
      </c>
      <c r="B123" s="3" t="s">
        <v>36</v>
      </c>
      <c r="C123" s="3" t="s">
        <v>173</v>
      </c>
      <c r="D123" s="3" t="s">
        <v>56</v>
      </c>
      <c r="E123" s="3" t="s">
        <v>25</v>
      </c>
      <c r="F123" s="3" t="s">
        <v>25</v>
      </c>
      <c r="G123" s="3" t="s">
        <v>174</v>
      </c>
      <c r="H123" s="3" t="s">
        <v>57</v>
      </c>
      <c r="I123" s="3" t="s">
        <v>30</v>
      </c>
      <c r="J123" s="3" t="s">
        <v>30</v>
      </c>
      <c r="K123" s="3" t="s">
        <v>33</v>
      </c>
      <c r="L123" s="3" t="s">
        <v>33</v>
      </c>
      <c r="M123" s="3" t="s">
        <v>31</v>
      </c>
      <c r="N123" s="3" t="s">
        <v>31</v>
      </c>
      <c r="O123" s="3" t="s">
        <v>33</v>
      </c>
      <c r="P123" s="3" t="s">
        <v>31</v>
      </c>
      <c r="Q123" s="3" t="s">
        <v>33</v>
      </c>
      <c r="R123" s="3" t="s">
        <v>33</v>
      </c>
      <c r="S123" s="3" t="s">
        <v>31</v>
      </c>
      <c r="T123" s="3" t="s">
        <v>33</v>
      </c>
      <c r="U123" s="3" t="s">
        <v>292</v>
      </c>
    </row>
    <row r="124" ht="15.75" customHeight="1">
      <c r="A124" s="2" t="s">
        <v>293</v>
      </c>
      <c r="B124" s="2" t="s">
        <v>40</v>
      </c>
      <c r="C124" s="2" t="s">
        <v>173</v>
      </c>
      <c r="D124" s="2" t="s">
        <v>56</v>
      </c>
      <c r="E124" s="2" t="s">
        <v>25</v>
      </c>
      <c r="F124" s="2" t="s">
        <v>25</v>
      </c>
      <c r="G124" s="2" t="s">
        <v>174</v>
      </c>
      <c r="H124" s="2" t="s">
        <v>57</v>
      </c>
      <c r="I124" s="2" t="s">
        <v>30</v>
      </c>
      <c r="J124" s="2" t="s">
        <v>30</v>
      </c>
      <c r="K124" s="2" t="s">
        <v>33</v>
      </c>
      <c r="L124" s="2" t="s">
        <v>33</v>
      </c>
      <c r="M124" s="2" t="s">
        <v>31</v>
      </c>
      <c r="N124" s="2" t="s">
        <v>31</v>
      </c>
      <c r="O124" s="2" t="s">
        <v>33</v>
      </c>
      <c r="P124" s="2" t="s">
        <v>31</v>
      </c>
      <c r="Q124" s="2" t="s">
        <v>33</v>
      </c>
      <c r="R124" s="2" t="s">
        <v>33</v>
      </c>
      <c r="S124" s="2" t="s">
        <v>31</v>
      </c>
      <c r="T124" s="2" t="s">
        <v>33</v>
      </c>
      <c r="U124" s="2" t="s">
        <v>294</v>
      </c>
    </row>
    <row r="125" ht="15.75" customHeight="1">
      <c r="A125" s="3" t="s">
        <v>295</v>
      </c>
      <c r="B125" s="3" t="s">
        <v>47</v>
      </c>
      <c r="C125" s="3" t="s">
        <v>173</v>
      </c>
      <c r="D125" s="3" t="s">
        <v>56</v>
      </c>
      <c r="E125" s="3" t="s">
        <v>25</v>
      </c>
      <c r="F125" s="3" t="s">
        <v>25</v>
      </c>
      <c r="G125" s="3" t="s">
        <v>174</v>
      </c>
      <c r="H125" s="3" t="s">
        <v>57</v>
      </c>
      <c r="I125" s="3" t="s">
        <v>30</v>
      </c>
      <c r="J125" s="3" t="s">
        <v>30</v>
      </c>
      <c r="K125" s="3" t="s">
        <v>33</v>
      </c>
      <c r="L125" s="3" t="s">
        <v>33</v>
      </c>
      <c r="M125" s="3" t="s">
        <v>31</v>
      </c>
      <c r="N125" s="3" t="s">
        <v>31</v>
      </c>
      <c r="O125" s="3" t="s">
        <v>33</v>
      </c>
      <c r="P125" s="3" t="s">
        <v>31</v>
      </c>
      <c r="Q125" s="3" t="s">
        <v>33</v>
      </c>
      <c r="R125" s="3" t="s">
        <v>33</v>
      </c>
      <c r="S125" s="3" t="s">
        <v>31</v>
      </c>
      <c r="T125" s="3" t="s">
        <v>33</v>
      </c>
      <c r="U125" s="3" t="s">
        <v>296</v>
      </c>
    </row>
    <row r="126" ht="15.75" customHeight="1">
      <c r="A126" s="2" t="s">
        <v>297</v>
      </c>
      <c r="B126" s="2" t="s">
        <v>50</v>
      </c>
      <c r="C126" s="2" t="s">
        <v>177</v>
      </c>
      <c r="D126" s="2" t="s">
        <v>56</v>
      </c>
      <c r="E126" s="2" t="s">
        <v>25</v>
      </c>
      <c r="F126" s="2" t="s">
        <v>25</v>
      </c>
      <c r="G126" s="2" t="s">
        <v>57</v>
      </c>
      <c r="H126" s="2" t="s">
        <v>57</v>
      </c>
      <c r="I126" s="2" t="s">
        <v>30</v>
      </c>
      <c r="J126" s="2" t="s">
        <v>30</v>
      </c>
      <c r="K126" s="2" t="s">
        <v>31</v>
      </c>
      <c r="L126" s="2" t="s">
        <v>33</v>
      </c>
      <c r="M126" s="2" t="s">
        <v>31</v>
      </c>
      <c r="N126" s="2" t="s">
        <v>31</v>
      </c>
      <c r="O126" s="2" t="s">
        <v>33</v>
      </c>
      <c r="P126" s="2" t="s">
        <v>31</v>
      </c>
      <c r="Q126" s="2" t="s">
        <v>33</v>
      </c>
      <c r="R126" s="2" t="s">
        <v>33</v>
      </c>
      <c r="S126" s="2" t="s">
        <v>33</v>
      </c>
      <c r="T126" s="2" t="s">
        <v>33</v>
      </c>
      <c r="U126" s="2" t="s">
        <v>298</v>
      </c>
    </row>
    <row r="127" ht="15.75" customHeight="1">
      <c r="A127" s="3" t="s">
        <v>299</v>
      </c>
      <c r="B127" s="3" t="s">
        <v>53</v>
      </c>
      <c r="C127" s="3" t="s">
        <v>173</v>
      </c>
      <c r="D127" s="3" t="s">
        <v>56</v>
      </c>
      <c r="E127" s="3" t="s">
        <v>25</v>
      </c>
      <c r="F127" s="3" t="s">
        <v>25</v>
      </c>
      <c r="G127" s="3" t="s">
        <v>174</v>
      </c>
      <c r="H127" s="3" t="s">
        <v>57</v>
      </c>
      <c r="I127" s="3" t="s">
        <v>30</v>
      </c>
      <c r="J127" s="3" t="s">
        <v>30</v>
      </c>
      <c r="K127" s="3" t="s">
        <v>33</v>
      </c>
      <c r="L127" s="3" t="s">
        <v>33</v>
      </c>
      <c r="M127" s="3" t="s">
        <v>31</v>
      </c>
      <c r="N127" s="3" t="s">
        <v>31</v>
      </c>
      <c r="O127" s="3" t="s">
        <v>33</v>
      </c>
      <c r="P127" s="3" t="s">
        <v>31</v>
      </c>
      <c r="Q127" s="3" t="s">
        <v>33</v>
      </c>
      <c r="R127" s="3" t="s">
        <v>33</v>
      </c>
      <c r="S127" s="3" t="s">
        <v>31</v>
      </c>
      <c r="T127" s="3" t="s">
        <v>33</v>
      </c>
      <c r="U127" s="3" t="s">
        <v>300</v>
      </c>
    </row>
    <row r="128" ht="15.75" customHeight="1">
      <c r="A128" s="2" t="s">
        <v>301</v>
      </c>
      <c r="B128" s="2" t="s">
        <v>22</v>
      </c>
      <c r="C128" s="2" t="s">
        <v>173</v>
      </c>
      <c r="D128" s="2" t="s">
        <v>56</v>
      </c>
      <c r="E128" s="2" t="s">
        <v>25</v>
      </c>
      <c r="F128" s="2" t="s">
        <v>25</v>
      </c>
      <c r="G128" s="2" t="s">
        <v>174</v>
      </c>
      <c r="H128" s="2" t="s">
        <v>57</v>
      </c>
      <c r="I128" s="2" t="s">
        <v>30</v>
      </c>
      <c r="J128" s="2" t="s">
        <v>30</v>
      </c>
      <c r="K128" s="2" t="s">
        <v>33</v>
      </c>
      <c r="L128" s="2" t="s">
        <v>33</v>
      </c>
      <c r="M128" s="2" t="s">
        <v>31</v>
      </c>
      <c r="N128" s="2" t="s">
        <v>31</v>
      </c>
      <c r="O128" s="2" t="s">
        <v>33</v>
      </c>
      <c r="P128" s="2" t="s">
        <v>31</v>
      </c>
      <c r="Q128" s="2" t="s">
        <v>33</v>
      </c>
      <c r="R128" s="2" t="s">
        <v>33</v>
      </c>
      <c r="S128" s="2" t="s">
        <v>31</v>
      </c>
      <c r="T128" s="2" t="s">
        <v>33</v>
      </c>
      <c r="U128" s="2" t="s">
        <v>302</v>
      </c>
    </row>
    <row r="129" ht="15.75" customHeight="1">
      <c r="A129" s="3" t="s">
        <v>303</v>
      </c>
      <c r="B129" s="3" t="s">
        <v>36</v>
      </c>
      <c r="C129" s="3" t="s">
        <v>173</v>
      </c>
      <c r="D129" s="3" t="s">
        <v>56</v>
      </c>
      <c r="E129" s="3" t="s">
        <v>25</v>
      </c>
      <c r="F129" s="3" t="s">
        <v>25</v>
      </c>
      <c r="G129" s="3" t="s">
        <v>174</v>
      </c>
      <c r="H129" s="3" t="s">
        <v>57</v>
      </c>
      <c r="I129" s="3" t="s">
        <v>30</v>
      </c>
      <c r="J129" s="3" t="s">
        <v>30</v>
      </c>
      <c r="K129" s="3" t="s">
        <v>33</v>
      </c>
      <c r="L129" s="3" t="s">
        <v>33</v>
      </c>
      <c r="M129" s="3" t="s">
        <v>31</v>
      </c>
      <c r="N129" s="3" t="s">
        <v>31</v>
      </c>
      <c r="O129" s="3" t="s">
        <v>33</v>
      </c>
      <c r="P129" s="3" t="s">
        <v>31</v>
      </c>
      <c r="Q129" s="3" t="s">
        <v>33</v>
      </c>
      <c r="R129" s="3" t="s">
        <v>33</v>
      </c>
      <c r="S129" s="3" t="s">
        <v>31</v>
      </c>
      <c r="T129" s="3" t="s">
        <v>33</v>
      </c>
      <c r="U129" s="3" t="s">
        <v>304</v>
      </c>
    </row>
    <row r="130" ht="15.75" customHeight="1">
      <c r="A130" s="2" t="s">
        <v>305</v>
      </c>
      <c r="B130" s="2" t="s">
        <v>40</v>
      </c>
      <c r="C130" s="2" t="s">
        <v>173</v>
      </c>
      <c r="D130" s="2" t="s">
        <v>56</v>
      </c>
      <c r="E130" s="2" t="s">
        <v>25</v>
      </c>
      <c r="F130" s="2" t="s">
        <v>25</v>
      </c>
      <c r="G130" s="2" t="s">
        <v>174</v>
      </c>
      <c r="H130" s="2" t="s">
        <v>57</v>
      </c>
      <c r="I130" s="2" t="s">
        <v>30</v>
      </c>
      <c r="J130" s="2" t="s">
        <v>30</v>
      </c>
      <c r="K130" s="2" t="s">
        <v>33</v>
      </c>
      <c r="L130" s="2" t="s">
        <v>33</v>
      </c>
      <c r="M130" s="2" t="s">
        <v>31</v>
      </c>
      <c r="N130" s="2" t="s">
        <v>31</v>
      </c>
      <c r="O130" s="2" t="s">
        <v>33</v>
      </c>
      <c r="P130" s="2" t="s">
        <v>31</v>
      </c>
      <c r="Q130" s="2" t="s">
        <v>33</v>
      </c>
      <c r="R130" s="2" t="s">
        <v>33</v>
      </c>
      <c r="S130" s="2" t="s">
        <v>31</v>
      </c>
      <c r="T130" s="2" t="s">
        <v>33</v>
      </c>
      <c r="U130" s="2" t="s">
        <v>306</v>
      </c>
    </row>
    <row r="131" ht="15.75" customHeight="1">
      <c r="A131" s="3" t="s">
        <v>307</v>
      </c>
      <c r="B131" s="3" t="s">
        <v>47</v>
      </c>
      <c r="C131" s="3" t="s">
        <v>173</v>
      </c>
      <c r="D131" s="3" t="s">
        <v>56</v>
      </c>
      <c r="E131" s="3" t="s">
        <v>25</v>
      </c>
      <c r="F131" s="3" t="s">
        <v>25</v>
      </c>
      <c r="G131" s="3" t="s">
        <v>174</v>
      </c>
      <c r="H131" s="3" t="s">
        <v>57</v>
      </c>
      <c r="I131" s="3" t="s">
        <v>30</v>
      </c>
      <c r="J131" s="3" t="s">
        <v>30</v>
      </c>
      <c r="K131" s="3" t="s">
        <v>33</v>
      </c>
      <c r="L131" s="3" t="s">
        <v>33</v>
      </c>
      <c r="M131" s="3" t="s">
        <v>31</v>
      </c>
      <c r="N131" s="3" t="s">
        <v>31</v>
      </c>
      <c r="O131" s="3" t="s">
        <v>33</v>
      </c>
      <c r="P131" s="3" t="s">
        <v>31</v>
      </c>
      <c r="Q131" s="3" t="s">
        <v>33</v>
      </c>
      <c r="R131" s="3" t="s">
        <v>33</v>
      </c>
      <c r="S131" s="3" t="s">
        <v>31</v>
      </c>
      <c r="T131" s="3" t="s">
        <v>33</v>
      </c>
      <c r="U131" s="3" t="s">
        <v>308</v>
      </c>
    </row>
    <row r="132" ht="15.75" customHeight="1">
      <c r="A132" s="2" t="s">
        <v>309</v>
      </c>
      <c r="B132" s="2" t="s">
        <v>50</v>
      </c>
      <c r="C132" s="2" t="s">
        <v>177</v>
      </c>
      <c r="D132" s="2" t="s">
        <v>56</v>
      </c>
      <c r="E132" s="2" t="s">
        <v>25</v>
      </c>
      <c r="F132" s="2" t="s">
        <v>25</v>
      </c>
      <c r="G132" s="2" t="s">
        <v>57</v>
      </c>
      <c r="H132" s="2" t="s">
        <v>57</v>
      </c>
      <c r="I132" s="2" t="s">
        <v>30</v>
      </c>
      <c r="J132" s="2" t="s">
        <v>30</v>
      </c>
      <c r="K132" s="2" t="s">
        <v>31</v>
      </c>
      <c r="L132" s="2" t="s">
        <v>33</v>
      </c>
      <c r="M132" s="2" t="s">
        <v>31</v>
      </c>
      <c r="N132" s="2" t="s">
        <v>31</v>
      </c>
      <c r="O132" s="2" t="s">
        <v>33</v>
      </c>
      <c r="P132" s="2" t="s">
        <v>31</v>
      </c>
      <c r="Q132" s="2" t="s">
        <v>33</v>
      </c>
      <c r="R132" s="2" t="s">
        <v>33</v>
      </c>
      <c r="S132" s="2" t="s">
        <v>33</v>
      </c>
      <c r="T132" s="2" t="s">
        <v>33</v>
      </c>
      <c r="U132" s="2" t="s">
        <v>310</v>
      </c>
    </row>
    <row r="133" ht="15.75" customHeight="1">
      <c r="A133" s="3" t="s">
        <v>311</v>
      </c>
      <c r="B133" s="3" t="s">
        <v>53</v>
      </c>
      <c r="C133" s="3" t="s">
        <v>173</v>
      </c>
      <c r="D133" s="3" t="s">
        <v>56</v>
      </c>
      <c r="E133" s="3" t="s">
        <v>25</v>
      </c>
      <c r="F133" s="3" t="s">
        <v>25</v>
      </c>
      <c r="G133" s="3" t="s">
        <v>174</v>
      </c>
      <c r="H133" s="3" t="s">
        <v>57</v>
      </c>
      <c r="I133" s="3" t="s">
        <v>30</v>
      </c>
      <c r="J133" s="3" t="s">
        <v>30</v>
      </c>
      <c r="K133" s="3" t="s">
        <v>33</v>
      </c>
      <c r="L133" s="3" t="s">
        <v>33</v>
      </c>
      <c r="M133" s="3" t="s">
        <v>31</v>
      </c>
      <c r="N133" s="3" t="s">
        <v>31</v>
      </c>
      <c r="O133" s="3" t="s">
        <v>33</v>
      </c>
      <c r="P133" s="3" t="s">
        <v>31</v>
      </c>
      <c r="Q133" s="3" t="s">
        <v>33</v>
      </c>
      <c r="R133" s="3" t="s">
        <v>33</v>
      </c>
      <c r="S133" s="3" t="s">
        <v>31</v>
      </c>
      <c r="T133" s="3" t="s">
        <v>33</v>
      </c>
      <c r="U133" s="3" t="s">
        <v>312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5FA5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22.0"/>
    <col customWidth="1" min="4" max="26" width="8.71"/>
  </cols>
  <sheetData>
    <row r="1" ht="21.75" customHeight="1">
      <c r="A1" s="4" t="s">
        <v>313</v>
      </c>
      <c r="B1" s="4" t="s">
        <v>314</v>
      </c>
      <c r="C1" s="4" t="s">
        <v>315</v>
      </c>
    </row>
    <row r="2" ht="19.5" customHeight="1">
      <c r="A2" s="5" t="s">
        <v>316</v>
      </c>
      <c r="B2" s="5" t="s">
        <v>317</v>
      </c>
      <c r="C2" s="6" t="s">
        <v>318</v>
      </c>
    </row>
    <row r="3" ht="19.5" customHeight="1">
      <c r="A3" s="7" t="s">
        <v>319</v>
      </c>
      <c r="B3" s="7" t="s">
        <v>320</v>
      </c>
      <c r="C3" s="8" t="s">
        <v>321</v>
      </c>
    </row>
    <row r="4" ht="19.5" customHeight="1">
      <c r="A4" s="8" t="s">
        <v>322</v>
      </c>
      <c r="B4" s="8" t="s">
        <v>323</v>
      </c>
      <c r="C4" s="8" t="s">
        <v>321</v>
      </c>
    </row>
    <row r="5" ht="19.5" customHeight="1">
      <c r="A5" s="7" t="s">
        <v>324</v>
      </c>
      <c r="B5" s="7" t="s">
        <v>325</v>
      </c>
      <c r="C5" s="8" t="s">
        <v>321</v>
      </c>
    </row>
    <row r="6" ht="19.5" customHeight="1">
      <c r="A6" s="8" t="s">
        <v>326</v>
      </c>
      <c r="B6" s="8" t="s">
        <v>320</v>
      </c>
      <c r="C6" s="8" t="s">
        <v>321</v>
      </c>
    </row>
    <row r="7" ht="19.5" customHeight="1">
      <c r="A7" s="7" t="s">
        <v>327</v>
      </c>
      <c r="B7" s="7" t="s">
        <v>323</v>
      </c>
      <c r="C7" s="8" t="s">
        <v>321</v>
      </c>
    </row>
    <row r="8" ht="19.5" customHeight="1">
      <c r="A8" s="8" t="s">
        <v>328</v>
      </c>
      <c r="B8" s="8" t="s">
        <v>325</v>
      </c>
      <c r="C8" s="8" t="s">
        <v>321</v>
      </c>
    </row>
    <row r="9" ht="19.5" customHeight="1">
      <c r="A9" s="7" t="s">
        <v>329</v>
      </c>
      <c r="B9" s="7" t="s">
        <v>320</v>
      </c>
      <c r="C9" s="8" t="s">
        <v>321</v>
      </c>
    </row>
    <row r="10" ht="19.5" customHeight="1">
      <c r="A10" s="8" t="s">
        <v>330</v>
      </c>
      <c r="B10" s="8" t="s">
        <v>323</v>
      </c>
      <c r="C10" s="8" t="s">
        <v>321</v>
      </c>
    </row>
    <row r="11" ht="19.5" customHeight="1">
      <c r="A11" s="7" t="s">
        <v>331</v>
      </c>
      <c r="B11" s="7" t="s">
        <v>325</v>
      </c>
      <c r="C11" s="8" t="s">
        <v>321</v>
      </c>
    </row>
    <row r="12" ht="19.5" customHeight="1">
      <c r="A12" s="5" t="s">
        <v>332</v>
      </c>
      <c r="B12" s="5" t="s">
        <v>320</v>
      </c>
      <c r="C12" s="6" t="s">
        <v>318</v>
      </c>
    </row>
    <row r="13" ht="19.5" customHeight="1">
      <c r="A13" s="9" t="s">
        <v>333</v>
      </c>
      <c r="B13" s="9" t="s">
        <v>323</v>
      </c>
      <c r="C13" s="6" t="s">
        <v>318</v>
      </c>
    </row>
    <row r="14" ht="19.5" customHeight="1">
      <c r="A14" s="5" t="s">
        <v>334</v>
      </c>
      <c r="B14" s="5" t="s">
        <v>325</v>
      </c>
      <c r="C14" s="6" t="s">
        <v>318</v>
      </c>
    </row>
    <row r="15" ht="19.5" customHeight="1">
      <c r="A15" s="7" t="s">
        <v>335</v>
      </c>
      <c r="B15" s="7" t="s">
        <v>320</v>
      </c>
      <c r="C15" s="8" t="s">
        <v>321</v>
      </c>
    </row>
    <row r="16" ht="19.5" customHeight="1">
      <c r="A16" s="8" t="s">
        <v>336</v>
      </c>
      <c r="B16" s="8" t="s">
        <v>323</v>
      </c>
      <c r="C16" s="8" t="s">
        <v>321</v>
      </c>
    </row>
    <row r="17" ht="19.5" customHeight="1">
      <c r="A17" s="7" t="s">
        <v>337</v>
      </c>
      <c r="B17" s="7" t="s">
        <v>325</v>
      </c>
      <c r="C17" s="8" t="s">
        <v>321</v>
      </c>
    </row>
    <row r="18" ht="19.5" customHeight="1">
      <c r="A18" s="5" t="s">
        <v>338</v>
      </c>
      <c r="B18" s="5" t="s">
        <v>320</v>
      </c>
      <c r="C18" s="6" t="s">
        <v>318</v>
      </c>
    </row>
    <row r="19" ht="19.5" customHeight="1">
      <c r="A19" s="9" t="s">
        <v>339</v>
      </c>
      <c r="B19" s="9" t="s">
        <v>323</v>
      </c>
      <c r="C19" s="6" t="s">
        <v>318</v>
      </c>
    </row>
    <row r="20" ht="19.5" customHeight="1">
      <c r="A20" s="5" t="s">
        <v>340</v>
      </c>
      <c r="B20" s="5" t="s">
        <v>325</v>
      </c>
      <c r="C20" s="6" t="s">
        <v>318</v>
      </c>
    </row>
    <row r="21" ht="19.5" customHeight="1">
      <c r="A21" s="7" t="s">
        <v>341</v>
      </c>
      <c r="B21" s="7" t="s">
        <v>320</v>
      </c>
      <c r="C21" s="8" t="s">
        <v>321</v>
      </c>
    </row>
    <row r="22" ht="19.5" customHeight="1">
      <c r="A22" s="8" t="s">
        <v>342</v>
      </c>
      <c r="B22" s="8" t="s">
        <v>323</v>
      </c>
      <c r="C22" s="8" t="s">
        <v>321</v>
      </c>
    </row>
    <row r="23" ht="19.5" customHeight="1">
      <c r="A23" s="7" t="s">
        <v>343</v>
      </c>
      <c r="B23" s="7" t="s">
        <v>325</v>
      </c>
      <c r="C23" s="8" t="s">
        <v>321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500A"/>
    <pageSetUpPr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3" width="26.0"/>
    <col customWidth="1" min="4" max="4" width="10.0"/>
    <col customWidth="1" min="5" max="5" width="20.0"/>
    <col customWidth="1" min="6" max="6" width="19.29"/>
    <col customWidth="1" min="7" max="7" width="26.0"/>
    <col customWidth="1" min="8" max="8" width="19.29"/>
    <col customWidth="1" min="9" max="9" width="20.0"/>
    <col customWidth="1" min="10" max="10" width="12.0"/>
    <col customWidth="1" min="11" max="15" width="8.0"/>
    <col customWidth="1" min="16" max="16" width="14.0"/>
    <col customWidth="1" min="17" max="17" width="40.0"/>
    <col customWidth="1" min="18" max="26" width="8.71"/>
  </cols>
  <sheetData>
    <row r="1" ht="7.5" customHeight="1"/>
    <row r="2" ht="31.5" customHeight="1">
      <c r="B2" s="10" t="s">
        <v>344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</row>
    <row r="3" ht="18.0" customHeight="1">
      <c r="B3" s="13" t="s">
        <v>345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</row>
    <row r="4" ht="9.75" customHeight="1"/>
    <row r="5" ht="19.5" customHeight="1">
      <c r="B5" s="14" t="s">
        <v>346</v>
      </c>
      <c r="C5" s="15"/>
      <c r="D5" s="16" t="s">
        <v>347</v>
      </c>
      <c r="E5" s="15"/>
      <c r="F5" s="17" t="s">
        <v>348</v>
      </c>
      <c r="G5" s="18"/>
      <c r="H5" s="15"/>
      <c r="I5" s="19" t="s">
        <v>349</v>
      </c>
      <c r="J5" s="18"/>
      <c r="K5" s="15"/>
      <c r="L5" s="20" t="s">
        <v>350</v>
      </c>
      <c r="M5" s="18"/>
      <c r="N5" s="15"/>
      <c r="O5" s="21" t="s">
        <v>351</v>
      </c>
      <c r="P5" s="18"/>
      <c r="Q5" s="15"/>
    </row>
    <row r="6" ht="9.75" customHeight="1"/>
    <row r="7" ht="33.75" customHeight="1">
      <c r="B7" s="22" t="s">
        <v>352</v>
      </c>
      <c r="C7" s="23" t="s">
        <v>319</v>
      </c>
      <c r="D7" s="24"/>
      <c r="E7" s="25" t="s">
        <v>353</v>
      </c>
      <c r="F7" s="26" t="str">
        <f>IFERROR(VLOOKUP(C7,LevelData!A:B,2,0),"—")</f>
        <v>Up to 33%</v>
      </c>
      <c r="G7" s="25" t="s">
        <v>354</v>
      </c>
      <c r="H7" s="27" t="str">
        <f>IFERROR(VLOOKUP(C7,LevelData!A:C,3,0),"—")</f>
        <v>Standard CEFR</v>
      </c>
    </row>
    <row r="8" ht="9.75" customHeight="1"/>
    <row r="9" ht="33.75" customHeight="1">
      <c r="B9" s="28" t="s">
        <v>1</v>
      </c>
      <c r="C9" s="29" t="s">
        <v>355</v>
      </c>
      <c r="D9" s="18"/>
      <c r="E9" s="18"/>
      <c r="F9" s="15"/>
      <c r="G9" s="30" t="s">
        <v>356</v>
      </c>
      <c r="H9" s="18"/>
      <c r="I9" s="18"/>
      <c r="J9" s="15"/>
      <c r="K9" s="31" t="s">
        <v>357</v>
      </c>
      <c r="L9" s="18"/>
      <c r="M9" s="18"/>
      <c r="N9" s="18"/>
      <c r="O9" s="15"/>
      <c r="P9" s="32" t="s">
        <v>358</v>
      </c>
      <c r="Q9" s="33" t="s">
        <v>359</v>
      </c>
    </row>
    <row r="10" ht="30.0" customHeight="1">
      <c r="B10" s="34"/>
      <c r="C10" s="35" t="s">
        <v>360</v>
      </c>
      <c r="D10" s="35" t="s">
        <v>361</v>
      </c>
      <c r="E10" s="35" t="s">
        <v>362</v>
      </c>
      <c r="F10" s="35" t="s">
        <v>363</v>
      </c>
      <c r="G10" s="36" t="s">
        <v>360</v>
      </c>
      <c r="H10" s="36" t="s">
        <v>361</v>
      </c>
      <c r="I10" s="36" t="s">
        <v>362</v>
      </c>
      <c r="J10" s="36" t="s">
        <v>363</v>
      </c>
      <c r="K10" s="35" t="s">
        <v>364</v>
      </c>
      <c r="L10" s="37" t="s">
        <v>365</v>
      </c>
      <c r="M10" s="38" t="s">
        <v>366</v>
      </c>
      <c r="N10" s="39" t="s">
        <v>367</v>
      </c>
      <c r="O10" s="40" t="s">
        <v>368</v>
      </c>
      <c r="P10" s="1"/>
      <c r="Q10" s="41"/>
    </row>
    <row r="11" ht="33.75" customHeight="1">
      <c r="B11" s="42" t="s">
        <v>22</v>
      </c>
      <c r="C11" s="43" t="str">
        <f t="array" ref="C11">IFERROR(INDEX(AllLevels!C:C,MATCH($C$7&amp;"|"&amp;"Vocabulary",AllLevels!A:A,0)),"—")</f>
        <v>Learning Upgrade</v>
      </c>
      <c r="D11" s="44" t="str">
        <f t="array" ref="D11">IFERROR(INDEX(AllLevels!E:E,MATCH($C$7&amp;"|"&amp;"Vocabulary",AllLevels!A:A,0)),"—")</f>
        <v>8/10</v>
      </c>
      <c r="E11" s="45" t="str">
        <f t="array" ref="E11">IFERROR(INDEX(AllLevels!G:G,MATCH($C$7&amp;"|"&amp;"Vocabulary",AllLevels!A:A,0)),"—")</f>
        <v>Mostly independent</v>
      </c>
      <c r="F11" s="46" t="str">
        <f t="array" ref="F11">IFERROR(INDEX(AllLevels!I:I,MATCH($C$7&amp;"|"&amp;"Vocabulary",AllLevels!A:A,0)),"—")</f>
        <v>Medium</v>
      </c>
      <c r="G11" s="47" t="str">
        <f t="array" ref="G11">IFERROR(INDEX(AllLevels!D:D,MATCH($C$7&amp;"|"&amp;"Vocabulary",AllLevels!A:A,0)),"—")</f>
        <v>Off2Class</v>
      </c>
      <c r="H11" s="48" t="str">
        <f t="array" ref="H11">IFERROR(INDEX(AllLevels!F:F,MATCH($C$7&amp;"|"&amp;"Vocabulary",AllLevels!A:A,0)),"—")</f>
        <v>8/10</v>
      </c>
      <c r="I11" s="49" t="str">
        <f t="array" ref="I11">IFERROR(INDEX(AllLevels!H:H,MATCH($C$7&amp;"|"&amp;"Vocabulary",AllLevels!A:A,0)),"—")</f>
        <v>Blended</v>
      </c>
      <c r="J11" s="50" t="str">
        <f t="array" ref="J11">IFERROR(INDEX(AllLevels!J:J,MATCH($C$7&amp;"|"&amp;"Vocabulary",AllLevels!A:A,0)),"—")</f>
        <v>Low</v>
      </c>
      <c r="K11" s="51" t="str">
        <f t="array" ref="K11">IFERROR(IF(INDEX(AllLevels!K:K,MATCH($C$7&amp;"|"&amp;"Vocabulary",AllLevels!A:A,0))="Y","✓",IF(INDEX(AllLevels!L:L,MATCH($C$7&amp;"|"&amp;"Vocabulary",AllLevels!A:A,0))="Y","✓",IF(OR(INDEX(AllLevels!K:K,MATCH($C$7&amp;"|"&amp;"Vocabulary",AllLevels!A:A,0))="P",INDEX(AllLevels!L:L,MATCH($C$7&amp;"|"&amp;"Vocabulary",AllLevels!A:A,0))="P"),"~","⚠"))),"—")</f>
        <v>✓</v>
      </c>
      <c r="L11" s="52" t="str">
        <f t="array" ref="L11">IFERROR(IF(INDEX(AllLevels!M:M,MATCH($C$7&amp;"|"&amp;"Vocabulary",AllLevels!A:A,0))="Y","✓",IF(INDEX(AllLevels!N:N,MATCH($C$7&amp;"|"&amp;"Vocabulary",AllLevels!A:A,0))="Y","✓",IF(OR(INDEX(AllLevels!M:M,MATCH($C$7&amp;"|"&amp;"Vocabulary",AllLevels!A:A,0))="P",INDEX(AllLevels!N:N,MATCH($C$7&amp;"|"&amp;"Vocabulary",AllLevels!A:A,0))="P"),"~","⚠"))),"—")</f>
        <v>~</v>
      </c>
      <c r="M11" s="53" t="str">
        <f t="array" ref="M11">IFERROR(IF(INDEX(AllLevels!O:O,MATCH($C$7&amp;"|"&amp;"Vocabulary",AllLevels!A:A,0))="Y","✓",IF(INDEX(AllLevels!P:P,MATCH($C$7&amp;"|"&amp;"Vocabulary",AllLevels!A:A,0))="Y","✓",IF(OR(INDEX(AllLevels!O:O,MATCH($C$7&amp;"|"&amp;"Vocabulary",AllLevels!A:A,0))="P",INDEX(AllLevels!P:P,MATCH($C$7&amp;"|"&amp;"Vocabulary",AllLevels!A:A,0))="P"),"~","⚠"))),"—")</f>
        <v>✓</v>
      </c>
      <c r="N11" s="54" t="str">
        <f t="array" ref="N11">IFERROR(IF(INDEX(AllLevels!Q:Q,MATCH($C$7&amp;"|"&amp;"Vocabulary",AllLevels!A:A,0))="Y","✓",IF(INDEX(AllLevels!R:R,MATCH($C$7&amp;"|"&amp;"Vocabulary",AllLevels!A:A,0))="Y","✓",IF(OR(INDEX(AllLevels!Q:Q,MATCH($C$7&amp;"|"&amp;"Vocabulary",AllLevels!A:A,0))="P",INDEX(AllLevels!R:R,MATCH($C$7&amp;"|"&amp;"Vocabulary",AllLevels!A:A,0))="P"),"~","⚠"))),"—")</f>
        <v>✓</v>
      </c>
      <c r="O11" s="55" t="str">
        <f t="array" ref="O11">IFERROR(IF(INDEX(AllLevels!S:S,MATCH($C$7&amp;"|"&amp;"Vocabulary",AllLevels!A:A,0))="Y","✓",IF(INDEX(AllLevels!T:T,MATCH($C$7&amp;"|"&amp;"Vocabulary",AllLevels!A:A,0))="Y","✓",IF(OR(INDEX(AllLevels!S:S,MATCH($C$7&amp;"|"&amp;"Vocabulary",AllLevels!A:A,0))="P",INDEX(AllLevels!T:T,MATCH($C$7&amp;"|"&amp;"Vocabulary",AllLevels!A:A,0))="P"),"~","⚠"))),"—")</f>
        <v>✓</v>
      </c>
      <c r="P11" s="56" t="str">
        <f>IF(=IFERROR(COUNTIF(K11:O11,"⚠"),0)=0,"✅ VITAL OK",IF(=IFERROR(COUNTIF(K11:O11,"⚠"),0)=1,"⚠ 1 gap","⛔ "&amp;=IFERROR(COUNTIF(K11:O11,"⚠"),0)&amp;" gaps"))</f>
        <v>#ERROR!</v>
      </c>
      <c r="Q11" s="57" t="str">
        <f t="array" ref="Q11">IFERROR(INDEX(AllLevels!U:U,MATCH($C$7&amp;"|"&amp;"Vocabulary",AllLevels!A:A,0)),"—")</f>
        <v>Vocabulary at A1−: core=Learning Upgrade, supp=Off2Class. Minus: heavy scaffolding. A-band: heavy scaffolding required. Sentence frames visible. No tool runs unsupported.</v>
      </c>
    </row>
    <row r="12" ht="33.75" customHeight="1">
      <c r="B12" s="58" t="s">
        <v>36</v>
      </c>
      <c r="C12" s="43" t="str">
        <f t="array" ref="C12">IFERROR(INDEX(AllLevels!C:C,MATCH($C$7&amp;"|"&amp;"Listening",AllLevels!A:A,0)),"—")</f>
        <v>Learning Upgrade</v>
      </c>
      <c r="D12" s="59" t="str">
        <f t="array" ref="D12">IFERROR(INDEX(AllLevels!E:E,MATCH($C$7&amp;"|"&amp;"Listening",AllLevels!A:A,0)),"—")</f>
        <v>8/10</v>
      </c>
      <c r="E12" s="60" t="str">
        <f t="array" ref="E12">IFERROR(INDEX(AllLevels!G:G,MATCH($C$7&amp;"|"&amp;"Listening",AllLevels!A:A,0)),"—")</f>
        <v>Mostly independent</v>
      </c>
      <c r="F12" s="61" t="str">
        <f t="array" ref="F12">IFERROR(INDEX(AllLevels!I:I,MATCH($C$7&amp;"|"&amp;"Listening",AllLevels!A:A,0)),"—")</f>
        <v>Medium</v>
      </c>
      <c r="G12" s="47" t="str">
        <f t="array" ref="G12">IFERROR(INDEX(AllLevels!D:D,MATCH($C$7&amp;"|"&amp;"Listening",AllLevels!A:A,0)),"—")</f>
        <v>Off2Class</v>
      </c>
      <c r="H12" s="48" t="str">
        <f t="array" ref="H12">IFERROR(INDEX(AllLevels!F:F,MATCH($C$7&amp;"|"&amp;"Listening",AllLevels!A:A,0)),"—")</f>
        <v>8/10</v>
      </c>
      <c r="I12" s="49" t="str">
        <f t="array" ref="I12">IFERROR(INDEX(AllLevels!H:H,MATCH($C$7&amp;"|"&amp;"Listening",AllLevels!A:A,0)),"—")</f>
        <v>Blended</v>
      </c>
      <c r="J12" s="50" t="str">
        <f t="array" ref="J12">IFERROR(INDEX(AllLevels!J:J,MATCH($C$7&amp;"|"&amp;"Listening",AllLevels!A:A,0)),"—")</f>
        <v>Low</v>
      </c>
      <c r="K12" s="51" t="str">
        <f t="array" ref="K12">IFERROR(IF(INDEX(AllLevels!K:K,MATCH($C$7&amp;"|"&amp;"Listening",AllLevels!A:A,0))="Y","✓",IF(INDEX(AllLevels!L:L,MATCH($C$7&amp;"|"&amp;"Listening",AllLevels!A:A,0))="Y","✓",IF(OR(INDEX(AllLevels!K:K,MATCH($C$7&amp;"|"&amp;"Listening",AllLevels!A:A,0))="P",INDEX(AllLevels!L:L,MATCH($C$7&amp;"|"&amp;"Listening",AllLevels!A:A,0))="P"),"~","⚠"))),"—")</f>
        <v>✓</v>
      </c>
      <c r="L12" s="52" t="str">
        <f t="array" ref="L12">IFERROR(IF(INDEX(AllLevels!M:M,MATCH($C$7&amp;"|"&amp;"Listening",AllLevels!A:A,0))="Y","✓",IF(INDEX(AllLevels!N:N,MATCH($C$7&amp;"|"&amp;"Listening",AllLevels!A:A,0))="Y","✓",IF(OR(INDEX(AllLevels!M:M,MATCH($C$7&amp;"|"&amp;"Listening",AllLevels!A:A,0))="P",INDEX(AllLevels!N:N,MATCH($C$7&amp;"|"&amp;"Listening",AllLevels!A:A,0))="P"),"~","⚠"))),"—")</f>
        <v>~</v>
      </c>
      <c r="M12" s="53" t="str">
        <f t="array" ref="M12">IFERROR(IF(INDEX(AllLevels!O:O,MATCH($C$7&amp;"|"&amp;"Listening",AllLevels!A:A,0))="Y","✓",IF(INDEX(AllLevels!P:P,MATCH($C$7&amp;"|"&amp;"Listening",AllLevels!A:A,0))="Y","✓",IF(OR(INDEX(AllLevels!O:O,MATCH($C$7&amp;"|"&amp;"Listening",AllLevels!A:A,0))="P",INDEX(AllLevels!P:P,MATCH($C$7&amp;"|"&amp;"Listening",AllLevels!A:A,0))="P"),"~","⚠"))),"—")</f>
        <v>✓</v>
      </c>
      <c r="N12" s="54" t="str">
        <f t="array" ref="N12">IFERROR(IF(INDEX(AllLevels!Q:Q,MATCH($C$7&amp;"|"&amp;"Listening",AllLevels!A:A,0))="Y","✓",IF(INDEX(AllLevels!R:R,MATCH($C$7&amp;"|"&amp;"Listening",AllLevels!A:A,0))="Y","✓",IF(OR(INDEX(AllLevels!Q:Q,MATCH($C$7&amp;"|"&amp;"Listening",AllLevels!A:A,0))="P",INDEX(AllLevels!R:R,MATCH($C$7&amp;"|"&amp;"Listening",AllLevels!A:A,0))="P"),"~","⚠"))),"—")</f>
        <v>✓</v>
      </c>
      <c r="O12" s="55" t="str">
        <f t="array" ref="O12">IFERROR(IF(INDEX(AllLevels!S:S,MATCH($C$7&amp;"|"&amp;"Listening",AllLevels!A:A,0))="Y","✓",IF(INDEX(AllLevels!T:T,MATCH($C$7&amp;"|"&amp;"Listening",AllLevels!A:A,0))="Y","✓",IF(OR(INDEX(AllLevels!S:S,MATCH($C$7&amp;"|"&amp;"Listening",AllLevels!A:A,0))="P",INDEX(AllLevels!T:T,MATCH($C$7&amp;"|"&amp;"Listening",AllLevels!A:A,0))="P"),"~","⚠"))),"—")</f>
        <v>✓</v>
      </c>
      <c r="P12" s="56" t="str">
        <f>IF(=IFERROR(COUNTIF(K12:O12,"⚠"),0)=0,"✅ VITAL OK",IF(=IFERROR(COUNTIF(K12:O12,"⚠"),0)=1,"⚠ 1 gap","⛔ "&amp;=IFERROR(COUNTIF(K12:O12,"⚠"),0)&amp;" gaps"))</f>
        <v>#ERROR!</v>
      </c>
      <c r="Q12" s="57" t="str">
        <f t="array" ref="Q12">IFERROR(INDEX(AllLevels!U:U,MATCH($C$7&amp;"|"&amp;"Listening",AllLevels!A:A,0)),"—")</f>
        <v>Listening at A1−: core=Learning Upgrade, supp=Off2Class. Minus: heavy scaffolding. A-band: heavy scaffolding required. Sentence frames visible. No tool runs unsupported.</v>
      </c>
    </row>
    <row r="13" ht="33.75" customHeight="1">
      <c r="B13" s="62" t="s">
        <v>40</v>
      </c>
      <c r="C13" s="43" t="str">
        <f t="array" ref="C13">IFERROR(INDEX(AllLevels!C:C,MATCH($C$7&amp;"|"&amp;"Speaking",AllLevels!A:A,0)),"—")</f>
        <v>Elsaspeak</v>
      </c>
      <c r="D13" s="59" t="str">
        <f t="array" ref="D13">IFERROR(INDEX(AllLevels!E:E,MATCH($C$7&amp;"|"&amp;"Speaking",AllLevels!A:A,0)),"—")</f>
        <v>8/10</v>
      </c>
      <c r="E13" s="60" t="str">
        <f t="array" ref="E13">IFERROR(INDEX(AllLevels!G:G,MATCH($C$7&amp;"|"&amp;"Speaking",AllLevels!A:A,0)),"—")</f>
        <v>Mostly independent</v>
      </c>
      <c r="F13" s="61" t="str">
        <f t="array" ref="F13">IFERROR(INDEX(AllLevels!I:I,MATCH($C$7&amp;"|"&amp;"Speaking",AllLevels!A:A,0)),"—")</f>
        <v>Low</v>
      </c>
      <c r="G13" s="47" t="str">
        <f t="array" ref="G13">IFERROR(INDEX(AllLevels!D:D,MATCH($C$7&amp;"|"&amp;"Speaking",AllLevels!A:A,0)),"—")</f>
        <v>Off2Class</v>
      </c>
      <c r="H13" s="48" t="str">
        <f t="array" ref="H13">IFERROR(INDEX(AllLevels!F:F,MATCH($C$7&amp;"|"&amp;"Speaking",AllLevels!A:A,0)),"—")</f>
        <v>8/10</v>
      </c>
      <c r="I13" s="49" t="str">
        <f t="array" ref="I13">IFERROR(INDEX(AllLevels!H:H,MATCH($C$7&amp;"|"&amp;"Speaking",AllLevels!A:A,0)),"—")</f>
        <v>Blended</v>
      </c>
      <c r="J13" s="50" t="str">
        <f t="array" ref="J13">IFERROR(INDEX(AllLevels!J:J,MATCH($C$7&amp;"|"&amp;"Speaking",AllLevels!A:A,0)),"—")</f>
        <v>Low</v>
      </c>
      <c r="K13" s="51" t="str">
        <f t="array" ref="K13">IFERROR(IF(INDEX(AllLevels!K:K,MATCH($C$7&amp;"|"&amp;"Speaking",AllLevels!A:A,0))="Y","✓",IF(INDEX(AllLevels!L:L,MATCH($C$7&amp;"|"&amp;"Speaking",AllLevels!A:A,0))="Y","✓",IF(OR(INDEX(AllLevels!K:K,MATCH($C$7&amp;"|"&amp;"Speaking",AllLevels!A:A,0))="P",INDEX(AllLevels!L:L,MATCH($C$7&amp;"|"&amp;"Speaking",AllLevels!A:A,0))="P"),"~","⚠"))),"—")</f>
        <v>✓</v>
      </c>
      <c r="L13" s="52" t="str">
        <f t="array" ref="L13">IFERROR(IF(INDEX(AllLevels!M:M,MATCH($C$7&amp;"|"&amp;"Speaking",AllLevels!A:A,0))="Y","✓",IF(INDEX(AllLevels!N:N,MATCH($C$7&amp;"|"&amp;"Speaking",AllLevels!A:A,0))="Y","✓",IF(OR(INDEX(AllLevels!M:M,MATCH($C$7&amp;"|"&amp;"Speaking",AllLevels!A:A,0))="P",INDEX(AllLevels!N:N,MATCH($C$7&amp;"|"&amp;"Speaking",AllLevels!A:A,0))="P"),"~","⚠"))),"—")</f>
        <v>✓</v>
      </c>
      <c r="M13" s="53" t="str">
        <f t="array" ref="M13">IFERROR(IF(INDEX(AllLevels!O:O,MATCH($C$7&amp;"|"&amp;"Speaking",AllLevels!A:A,0))="Y","✓",IF(INDEX(AllLevels!P:P,MATCH($C$7&amp;"|"&amp;"Speaking",AllLevels!A:A,0))="Y","✓",IF(OR(INDEX(AllLevels!O:O,MATCH($C$7&amp;"|"&amp;"Speaking",AllLevels!A:A,0))="P",INDEX(AllLevels!P:P,MATCH($C$7&amp;"|"&amp;"Speaking",AllLevels!A:A,0))="P"),"~","⚠"))),"—")</f>
        <v>✓</v>
      </c>
      <c r="N13" s="54" t="str">
        <f t="array" ref="N13">IFERROR(IF(INDEX(AllLevels!Q:Q,MATCH($C$7&amp;"|"&amp;"Speaking",AllLevels!A:A,0))="Y","✓",IF(INDEX(AllLevels!R:R,MATCH($C$7&amp;"|"&amp;"Speaking",AllLevels!A:A,0))="Y","✓",IF(OR(INDEX(AllLevels!Q:Q,MATCH($C$7&amp;"|"&amp;"Speaking",AllLevels!A:A,0))="P",INDEX(AllLevels!R:R,MATCH($C$7&amp;"|"&amp;"Speaking",AllLevels!A:A,0))="P"),"~","⚠"))),"—")</f>
        <v>✓</v>
      </c>
      <c r="O13" s="55" t="str">
        <f t="array" ref="O13">IFERROR(IF(INDEX(AllLevels!S:S,MATCH($C$7&amp;"|"&amp;"Speaking",AllLevels!A:A,0))="Y","✓",IF(INDEX(AllLevels!T:T,MATCH($C$7&amp;"|"&amp;"Speaking",AllLevels!A:A,0))="Y","✓",IF(OR(INDEX(AllLevels!S:S,MATCH($C$7&amp;"|"&amp;"Speaking",AllLevels!A:A,0))="P",INDEX(AllLevels!T:T,MATCH($C$7&amp;"|"&amp;"Speaking",AllLevels!A:A,0))="P"),"~","⚠"))),"—")</f>
        <v>✓</v>
      </c>
      <c r="P13" s="56" t="str">
        <f>IF(=IFERROR(COUNTIF(K13:O13,"⚠"),0)=0,"✅ VITAL OK",IF(=IFERROR(COUNTIF(K13:O13,"⚠"),0)=1,"⚠ 1 gap","⛔ "&amp;=IFERROR(COUNTIF(K13:O13,"⚠"),0)&amp;" gaps"))</f>
        <v>#ERROR!</v>
      </c>
      <c r="Q13" s="57" t="str">
        <f t="array" ref="Q13">IFERROR(INDEX(AllLevels!U:U,MATCH($C$7&amp;"|"&amp;"Speaking",AllLevels!A:A,0)),"—")</f>
        <v>Speaking at A1−: core=Elsaspeak, supp=Off2Class. Minus: heavy scaffolding. A-band: heavy scaffolding required. Sentence frames visible. No tool runs unsupported.</v>
      </c>
    </row>
    <row r="14" ht="33.75" customHeight="1">
      <c r="B14" s="63" t="s">
        <v>47</v>
      </c>
      <c r="C14" s="43" t="str">
        <f t="array" ref="C14">IFERROR(INDEX(AllLevels!C:C,MATCH($C$7&amp;"|"&amp;"Reading",AllLevels!A:A,0)),"—")</f>
        <v>Learning Upgrade</v>
      </c>
      <c r="D14" s="64" t="str">
        <f t="array" ref="D14">IFERROR(INDEX(AllLevels!E:E,MATCH($C$7&amp;"|"&amp;"Reading",AllLevels!A:A,0)),"—")</f>
        <v>8/10</v>
      </c>
      <c r="E14" s="65" t="str">
        <f t="array" ref="E14">IFERROR(INDEX(AllLevels!G:G,MATCH($C$7&amp;"|"&amp;"Reading",AllLevels!A:A,0)),"—")</f>
        <v>Mostly independent</v>
      </c>
      <c r="F14" s="66" t="str">
        <f t="array" ref="F14">IFERROR(INDEX(AllLevels!I:I,MATCH($C$7&amp;"|"&amp;"Reading",AllLevels!A:A,0)),"—")</f>
        <v>Medium</v>
      </c>
      <c r="G14" s="47" t="str">
        <f t="array" ref="G14">IFERROR(INDEX(AllLevels!D:D,MATCH($C$7&amp;"|"&amp;"Reading",AllLevels!A:A,0)),"—")</f>
        <v>Off2Class</v>
      </c>
      <c r="H14" s="48" t="str">
        <f t="array" ref="H14">IFERROR(INDEX(AllLevels!F:F,MATCH($C$7&amp;"|"&amp;"Reading",AllLevels!A:A,0)),"—")</f>
        <v>8/10</v>
      </c>
      <c r="I14" s="49" t="str">
        <f t="array" ref="I14">IFERROR(INDEX(AllLevels!H:H,MATCH($C$7&amp;"|"&amp;"Reading",AllLevels!A:A,0)),"—")</f>
        <v>Blended</v>
      </c>
      <c r="J14" s="50" t="str">
        <f t="array" ref="J14">IFERROR(INDEX(AllLevels!J:J,MATCH($C$7&amp;"|"&amp;"Reading",AllLevels!A:A,0)),"—")</f>
        <v>Low</v>
      </c>
      <c r="K14" s="51" t="str">
        <f t="array" ref="K14">IFERROR(IF(INDEX(AllLevels!K:K,MATCH($C$7&amp;"|"&amp;"Reading",AllLevels!A:A,0))="Y","✓",IF(INDEX(AllLevels!L:L,MATCH($C$7&amp;"|"&amp;"Reading",AllLevels!A:A,0))="Y","✓",IF(OR(INDEX(AllLevels!K:K,MATCH($C$7&amp;"|"&amp;"Reading",AllLevels!A:A,0))="P",INDEX(AllLevels!L:L,MATCH($C$7&amp;"|"&amp;"Reading",AllLevels!A:A,0))="P"),"~","⚠"))),"—")</f>
        <v>✓</v>
      </c>
      <c r="L14" s="52" t="str">
        <f t="array" ref="L14">IFERROR(IF(INDEX(AllLevels!M:M,MATCH($C$7&amp;"|"&amp;"Reading",AllLevels!A:A,0))="Y","✓",IF(INDEX(AllLevels!N:N,MATCH($C$7&amp;"|"&amp;"Reading",AllLevels!A:A,0))="Y","✓",IF(OR(INDEX(AllLevels!M:M,MATCH($C$7&amp;"|"&amp;"Reading",AllLevels!A:A,0))="P",INDEX(AllLevels!N:N,MATCH($C$7&amp;"|"&amp;"Reading",AllLevels!A:A,0))="P"),"~","⚠"))),"—")</f>
        <v>~</v>
      </c>
      <c r="M14" s="53" t="str">
        <f t="array" ref="M14">IFERROR(IF(INDEX(AllLevels!O:O,MATCH($C$7&amp;"|"&amp;"Reading",AllLevels!A:A,0))="Y","✓",IF(INDEX(AllLevels!P:P,MATCH($C$7&amp;"|"&amp;"Reading",AllLevels!A:A,0))="Y","✓",IF(OR(INDEX(AllLevels!O:O,MATCH($C$7&amp;"|"&amp;"Reading",AllLevels!A:A,0))="P",INDEX(AllLevels!P:P,MATCH($C$7&amp;"|"&amp;"Reading",AllLevels!A:A,0))="P"),"~","⚠"))),"—")</f>
        <v>✓</v>
      </c>
      <c r="N14" s="54" t="str">
        <f t="array" ref="N14">IFERROR(IF(INDEX(AllLevels!Q:Q,MATCH($C$7&amp;"|"&amp;"Reading",AllLevels!A:A,0))="Y","✓",IF(INDEX(AllLevels!R:R,MATCH($C$7&amp;"|"&amp;"Reading",AllLevels!A:A,0))="Y","✓",IF(OR(INDEX(AllLevels!Q:Q,MATCH($C$7&amp;"|"&amp;"Reading",AllLevels!A:A,0))="P",INDEX(AllLevels!R:R,MATCH($C$7&amp;"|"&amp;"Reading",AllLevels!A:A,0))="P"),"~","⚠"))),"—")</f>
        <v>✓</v>
      </c>
      <c r="O14" s="55" t="str">
        <f t="array" ref="O14">IFERROR(IF(INDEX(AllLevels!S:S,MATCH($C$7&amp;"|"&amp;"Reading",AllLevels!A:A,0))="Y","✓",IF(INDEX(AllLevels!T:T,MATCH($C$7&amp;"|"&amp;"Reading",AllLevels!A:A,0))="Y","✓",IF(OR(INDEX(AllLevels!S:S,MATCH($C$7&amp;"|"&amp;"Reading",AllLevels!A:A,0))="P",INDEX(AllLevels!T:T,MATCH($C$7&amp;"|"&amp;"Reading",AllLevels!A:A,0))="P"),"~","⚠"))),"—")</f>
        <v>✓</v>
      </c>
      <c r="P14" s="56" t="str">
        <f>IF(=IFERROR(COUNTIF(K14:O14,"⚠"),0)=0,"✅ VITAL OK",IF(=IFERROR(COUNTIF(K14:O14,"⚠"),0)=1,"⚠ 1 gap","⛔ "&amp;=IFERROR(COUNTIF(K14:O14,"⚠"),0)&amp;" gaps"))</f>
        <v>#ERROR!</v>
      </c>
      <c r="Q14" s="57" t="str">
        <f t="array" ref="Q14">IFERROR(INDEX(AllLevels!U:U,MATCH($C$7&amp;"|"&amp;"Reading",AllLevels!A:A,0)),"—")</f>
        <v>Reading at A1−: core=Learning Upgrade, supp=Off2Class. Minus: heavy scaffolding. A-band: heavy scaffolding required. Sentence frames visible. No tool runs unsupported.</v>
      </c>
    </row>
    <row r="15" ht="33.75" customHeight="1">
      <c r="B15" s="67" t="s">
        <v>50</v>
      </c>
      <c r="C15" s="43" t="str">
        <f t="array" ref="C15">IFERROR(INDEX(AllLevels!C:C,MATCH($C$7&amp;"|"&amp;"Writing",AllLevels!A:A,0)),"—")</f>
        <v>Learning Upgrade</v>
      </c>
      <c r="D15" s="64" t="str">
        <f t="array" ref="D15">IFERROR(INDEX(AllLevels!E:E,MATCH($C$7&amp;"|"&amp;"Writing",AllLevels!A:A,0)),"—")</f>
        <v>8/10</v>
      </c>
      <c r="E15" s="65" t="str">
        <f t="array" ref="E15">IFERROR(INDEX(AllLevels!G:G,MATCH($C$7&amp;"|"&amp;"Writing",AllLevels!A:A,0)),"—")</f>
        <v>Mostly independent</v>
      </c>
      <c r="F15" s="66" t="str">
        <f t="array" ref="F15">IFERROR(INDEX(AllLevels!I:I,MATCH($C$7&amp;"|"&amp;"Writing",AllLevels!A:A,0)),"—")</f>
        <v>Medium</v>
      </c>
      <c r="G15" s="47" t="str">
        <f t="array" ref="G15">IFERROR(INDEX(AllLevels!D:D,MATCH($C$7&amp;"|"&amp;"Writing",AllLevels!A:A,0)),"—")</f>
        <v>Off2Class</v>
      </c>
      <c r="H15" s="48" t="str">
        <f t="array" ref="H15">IFERROR(INDEX(AllLevels!F:F,MATCH($C$7&amp;"|"&amp;"Writing",AllLevels!A:A,0)),"—")</f>
        <v>8/10</v>
      </c>
      <c r="I15" s="49" t="str">
        <f t="array" ref="I15">IFERROR(INDEX(AllLevels!H:H,MATCH($C$7&amp;"|"&amp;"Writing",AllLevels!A:A,0)),"—")</f>
        <v>Blended</v>
      </c>
      <c r="J15" s="50" t="str">
        <f t="array" ref="J15">IFERROR(INDEX(AllLevels!J:J,MATCH($C$7&amp;"|"&amp;"Writing",AllLevels!A:A,0)),"—")</f>
        <v>Low</v>
      </c>
      <c r="K15" s="51" t="str">
        <f t="array" ref="K15">IFERROR(IF(INDEX(AllLevels!K:K,MATCH($C$7&amp;"|"&amp;"Writing",AllLevels!A:A,0))="Y","✓",IF(INDEX(AllLevels!L:L,MATCH($C$7&amp;"|"&amp;"Writing",AllLevels!A:A,0))="Y","✓",IF(OR(INDEX(AllLevels!K:K,MATCH($C$7&amp;"|"&amp;"Writing",AllLevels!A:A,0))="P",INDEX(AllLevels!L:L,MATCH($C$7&amp;"|"&amp;"Writing",AllLevels!A:A,0))="P"),"~","⚠"))),"—")</f>
        <v>✓</v>
      </c>
      <c r="L15" s="52" t="str">
        <f t="array" ref="L15">IFERROR(IF(INDEX(AllLevels!M:M,MATCH($C$7&amp;"|"&amp;"Writing",AllLevels!A:A,0))="Y","✓",IF(INDEX(AllLevels!N:N,MATCH($C$7&amp;"|"&amp;"Writing",AllLevels!A:A,0))="Y","✓",IF(OR(INDEX(AllLevels!M:M,MATCH($C$7&amp;"|"&amp;"Writing",AllLevels!A:A,0))="P",INDEX(AllLevels!N:N,MATCH($C$7&amp;"|"&amp;"Writing",AllLevels!A:A,0))="P"),"~","⚠"))),"—")</f>
        <v>~</v>
      </c>
      <c r="M15" s="53" t="str">
        <f t="array" ref="M15">IFERROR(IF(INDEX(AllLevels!O:O,MATCH($C$7&amp;"|"&amp;"Writing",AllLevels!A:A,0))="Y","✓",IF(INDEX(AllLevels!P:P,MATCH($C$7&amp;"|"&amp;"Writing",AllLevels!A:A,0))="Y","✓",IF(OR(INDEX(AllLevels!O:O,MATCH($C$7&amp;"|"&amp;"Writing",AllLevels!A:A,0))="P",INDEX(AllLevels!P:P,MATCH($C$7&amp;"|"&amp;"Writing",AllLevels!A:A,0))="P"),"~","⚠"))),"—")</f>
        <v>✓</v>
      </c>
      <c r="N15" s="54" t="str">
        <f t="array" ref="N15">IFERROR(IF(INDEX(AllLevels!Q:Q,MATCH($C$7&amp;"|"&amp;"Writing",AllLevels!A:A,0))="Y","✓",IF(INDEX(AllLevels!R:R,MATCH($C$7&amp;"|"&amp;"Writing",AllLevels!A:A,0))="Y","✓",IF(OR(INDEX(AllLevels!Q:Q,MATCH($C$7&amp;"|"&amp;"Writing",AllLevels!A:A,0))="P",INDEX(AllLevels!R:R,MATCH($C$7&amp;"|"&amp;"Writing",AllLevels!A:A,0))="P"),"~","⚠"))),"—")</f>
        <v>✓</v>
      </c>
      <c r="O15" s="55" t="str">
        <f t="array" ref="O15">IFERROR(IF(INDEX(AllLevels!S:S,MATCH($C$7&amp;"|"&amp;"Writing",AllLevels!A:A,0))="Y","✓",IF(INDEX(AllLevels!T:T,MATCH($C$7&amp;"|"&amp;"Writing",AllLevels!A:A,0))="Y","✓",IF(OR(INDEX(AllLevels!S:S,MATCH($C$7&amp;"|"&amp;"Writing",AllLevels!A:A,0))="P",INDEX(AllLevels!T:T,MATCH($C$7&amp;"|"&amp;"Writing",AllLevels!A:A,0))="P"),"~","⚠"))),"—")</f>
        <v>✓</v>
      </c>
      <c r="P15" s="56" t="str">
        <f>IF(=IFERROR(COUNTIF(K15:O15,"⚠"),0)=0,"✅ VITAL OK",IF(=IFERROR(COUNTIF(K15:O15,"⚠"),0)=1,"⚠ 1 gap","⛔ "&amp;=IFERROR(COUNTIF(K15:O15,"⚠"),0)&amp;" gaps"))</f>
        <v>#ERROR!</v>
      </c>
      <c r="Q15" s="57" t="str">
        <f t="array" ref="Q15">IFERROR(INDEX(AllLevels!U:U,MATCH($C$7&amp;"|"&amp;"Writing",AllLevels!A:A,0)),"—")</f>
        <v>Writing at A1−: core=Learning Upgrade, supp=Off2Class. Minus: heavy scaffolding. A-band: heavy scaffolding required. Sentence frames visible. No tool runs unsupported.</v>
      </c>
    </row>
    <row r="16" ht="33.75" customHeight="1">
      <c r="B16" s="68" t="s">
        <v>53</v>
      </c>
      <c r="C16" s="43" t="str">
        <f t="array" ref="C16">IFERROR(INDEX(AllLevels!C:C,MATCH($C$7&amp;"|"&amp;"Grammar",AllLevels!A:A,0)),"—")</f>
        <v>Learning Upgrade</v>
      </c>
      <c r="D16" s="69" t="str">
        <f t="array" ref="D16">IFERROR(INDEX(AllLevels!E:E,MATCH($C$7&amp;"|"&amp;"Grammar",AllLevels!A:A,0)),"—")</f>
        <v>8/10</v>
      </c>
      <c r="E16" s="70" t="str">
        <f t="array" ref="E16">IFERROR(INDEX(AllLevels!G:G,MATCH($C$7&amp;"|"&amp;"Grammar",AllLevels!A:A,0)),"—")</f>
        <v>Mostly independent</v>
      </c>
      <c r="F16" s="71" t="str">
        <f t="array" ref="F16">IFERROR(INDEX(AllLevels!I:I,MATCH($C$7&amp;"|"&amp;"Grammar",AllLevels!A:A,0)),"—")</f>
        <v>Medium</v>
      </c>
      <c r="G16" s="47" t="str">
        <f t="array" ref="G16">IFERROR(INDEX(AllLevels!D:D,MATCH($C$7&amp;"|"&amp;"Grammar",AllLevels!A:A,0)),"—")</f>
        <v>Off2Class</v>
      </c>
      <c r="H16" s="48" t="str">
        <f t="array" ref="H16">IFERROR(INDEX(AllLevels!F:F,MATCH($C$7&amp;"|"&amp;"Grammar",AllLevels!A:A,0)),"—")</f>
        <v>8/10</v>
      </c>
      <c r="I16" s="49" t="str">
        <f t="array" ref="I16">IFERROR(INDEX(AllLevels!H:H,MATCH($C$7&amp;"|"&amp;"Grammar",AllLevels!A:A,0)),"—")</f>
        <v>Blended</v>
      </c>
      <c r="J16" s="50" t="str">
        <f t="array" ref="J16">IFERROR(INDEX(AllLevels!J:J,MATCH($C$7&amp;"|"&amp;"Grammar",AllLevels!A:A,0)),"—")</f>
        <v>Low</v>
      </c>
      <c r="K16" s="51" t="str">
        <f t="array" ref="K16">IFERROR(IF(INDEX(AllLevels!K:K,MATCH($C$7&amp;"|"&amp;"Grammar",AllLevels!A:A,0))="Y","✓",IF(INDEX(AllLevels!L:L,MATCH($C$7&amp;"|"&amp;"Grammar",AllLevels!A:A,0))="Y","✓",IF(OR(INDEX(AllLevels!K:K,MATCH($C$7&amp;"|"&amp;"Grammar",AllLevels!A:A,0))="P",INDEX(AllLevels!L:L,MATCH($C$7&amp;"|"&amp;"Grammar",AllLevels!A:A,0))="P"),"~","⚠"))),"—")</f>
        <v>✓</v>
      </c>
      <c r="L16" s="52" t="str">
        <f t="array" ref="L16">IFERROR(IF(INDEX(AllLevels!M:M,MATCH($C$7&amp;"|"&amp;"Grammar",AllLevels!A:A,0))="Y","✓",IF(INDEX(AllLevels!N:N,MATCH($C$7&amp;"|"&amp;"Grammar",AllLevels!A:A,0))="Y","✓",IF(OR(INDEX(AllLevels!M:M,MATCH($C$7&amp;"|"&amp;"Grammar",AllLevels!A:A,0))="P",INDEX(AllLevels!N:N,MATCH($C$7&amp;"|"&amp;"Grammar",AllLevels!A:A,0))="P"),"~","⚠"))),"—")</f>
        <v>~</v>
      </c>
      <c r="M16" s="53" t="str">
        <f t="array" ref="M16">IFERROR(IF(INDEX(AllLevels!O:O,MATCH($C$7&amp;"|"&amp;"Grammar",AllLevels!A:A,0))="Y","✓",IF(INDEX(AllLevels!P:P,MATCH($C$7&amp;"|"&amp;"Grammar",AllLevels!A:A,0))="Y","✓",IF(OR(INDEX(AllLevels!O:O,MATCH($C$7&amp;"|"&amp;"Grammar",AllLevels!A:A,0))="P",INDEX(AllLevels!P:P,MATCH($C$7&amp;"|"&amp;"Grammar",AllLevels!A:A,0))="P"),"~","⚠"))),"—")</f>
        <v>✓</v>
      </c>
      <c r="N16" s="54" t="str">
        <f t="array" ref="N16">IFERROR(IF(INDEX(AllLevels!Q:Q,MATCH($C$7&amp;"|"&amp;"Grammar",AllLevels!A:A,0))="Y","✓",IF(INDEX(AllLevels!R:R,MATCH($C$7&amp;"|"&amp;"Grammar",AllLevels!A:A,0))="Y","✓",IF(OR(INDEX(AllLevels!Q:Q,MATCH($C$7&amp;"|"&amp;"Grammar",AllLevels!A:A,0))="P",INDEX(AllLevels!R:R,MATCH($C$7&amp;"|"&amp;"Grammar",AllLevels!A:A,0))="P"),"~","⚠"))),"—")</f>
        <v>✓</v>
      </c>
      <c r="O16" s="55" t="str">
        <f t="array" ref="O16">IFERROR(IF(INDEX(AllLevels!S:S,MATCH($C$7&amp;"|"&amp;"Grammar",AllLevels!A:A,0))="Y","✓",IF(INDEX(AllLevels!T:T,MATCH($C$7&amp;"|"&amp;"Grammar",AllLevels!A:A,0))="Y","✓",IF(OR(INDEX(AllLevels!S:S,MATCH($C$7&amp;"|"&amp;"Grammar",AllLevels!A:A,0))="P",INDEX(AllLevels!T:T,MATCH($C$7&amp;"|"&amp;"Grammar",AllLevels!A:A,0))="P"),"~","⚠"))),"—")</f>
        <v>✓</v>
      </c>
      <c r="P16" s="56" t="str">
        <f>IF(=IFERROR(COUNTIF(K16:O16,"⚠"),0)=0,"✅ VITAL OK",IF(=IFERROR(COUNTIF(K16:O16,"⚠"),0)=1,"⚠ 1 gap","⛔ "&amp;=IFERROR(COUNTIF(K16:O16,"⚠"),0)&amp;" gaps"))</f>
        <v>#ERROR!</v>
      </c>
      <c r="Q16" s="57" t="str">
        <f t="array" ref="Q16">IFERROR(INDEX(AllLevels!U:U,MATCH($C$7&amp;"|"&amp;"Grammar",AllLevels!A:A,0)),"—")</f>
        <v>Grammar at A1−: core=Learning Upgrade, supp=Off2Class. Minus: heavy scaffolding. A-band: heavy scaffolding required. Sentence frames visible. No tool runs unsupported.</v>
      </c>
    </row>
    <row r="17" ht="9.75" customHeight="1"/>
    <row r="18" ht="25.5" customHeight="1">
      <c r="B18" s="72" t="s">
        <v>369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</row>
    <row r="19" ht="27.75" customHeight="1">
      <c r="B19" s="73" t="s">
        <v>370</v>
      </c>
      <c r="C19" s="18"/>
      <c r="D19" s="18"/>
      <c r="E19" s="18"/>
      <c r="F19" s="18"/>
      <c r="G19" s="18"/>
      <c r="H19" s="18"/>
      <c r="I19" s="18"/>
      <c r="J19" s="15"/>
      <c r="K19" s="74" t="str">
        <f>IF(=COUNTIF(K11:K16,"⚠")=0,"✅ V — all 6 skills",IF(=COUNTIF(K11:K16,"⚠")=1,"⚠ V — 1 skill gap","⛔ V — "&amp;=COUNTIF(K11:K16,"⚠")&amp;" skill gaps"))</f>
        <v>#ERROR!</v>
      </c>
      <c r="L19" s="75" t="str">
        <f>IF(=COUNTIF(L11:L16,"⚠")=0,"✅ I — all 6 skills",IF(=COUNTIF(L11:L16,"⚠")=1,"⚠ I — 1 skill gap","⛔ I — "&amp;=COUNTIF(L11:L16,"⚠")&amp;" skill gaps"))</f>
        <v>#ERROR!</v>
      </c>
      <c r="M19" s="76" t="str">
        <f>IF(=COUNTIF(M11:M16,"⚠")=0,"✅ T — all 6 skills",IF(=COUNTIF(M11:M16,"⚠")=1,"⚠ T — 1 skill gap","⛔ T — "&amp;=COUNTIF(M11:M16,"⚠")&amp;" skill gaps"))</f>
        <v>#ERROR!</v>
      </c>
      <c r="N19" s="77" t="str">
        <f>IF(=COUNTIF(N11:N16,"⚠")=0,"✅ A — all 6 skills",IF(=COUNTIF(N11:N16,"⚠")=1,"⚠ A — 1 skill gap","⛔ A — "&amp;=COUNTIF(N11:N16,"⚠")&amp;" skill gaps"))</f>
        <v>#ERROR!</v>
      </c>
      <c r="O19" s="78" t="str">
        <f>IF(=COUNTIF(O11:O16,"⚠")=0,"✅ L — all 6 skills",IF(=COUNTIF(O11:O16,"⚠")=1,"⚠ L — 1 skill gap","⛔ L — "&amp;=COUNTIF(O11:O16,"⚠")&amp;" skill gaps"))</f>
        <v>#ERROR!</v>
      </c>
    </row>
    <row r="20" ht="9.75" customHeight="1"/>
    <row r="21" ht="33.75" customHeight="1">
      <c r="B21" s="79" t="str">
        <f>IF(COUNTIF(K11:O16,"⚠")=0,"✅  Full period stack VITAL-compliant across all 6 skills",IF(COUNTIF(K11:O16,"⚠")&lt;=3,"⚠  "&amp;COUNTIF(K11:O16,"⚠")&amp;" VITAL gaps — teacher must design these in","⛔  "&amp;COUNTIF(K11:O16,"⚠")&amp;" VITAL gaps — review tool selection significantly"))</f>
        <v>✅  Full period stack VITAL-compliant across all 6 skills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5:E5"/>
    <mergeCell ref="C7:D7"/>
    <mergeCell ref="C9:F9"/>
    <mergeCell ref="G9:J9"/>
    <mergeCell ref="K9:O9"/>
    <mergeCell ref="B18:Q18"/>
    <mergeCell ref="B19:J19"/>
    <mergeCell ref="B21:Q21"/>
    <mergeCell ref="B2:Q2"/>
    <mergeCell ref="B3:Q3"/>
    <mergeCell ref="B5:C5"/>
    <mergeCell ref="F5:H5"/>
    <mergeCell ref="I5:K5"/>
    <mergeCell ref="L5:N5"/>
    <mergeCell ref="O5:Q5"/>
  </mergeCells>
  <conditionalFormatting sqref="K11">
    <cfRule type="expression" dxfId="0" priority="1">
      <formula>K11="✓"</formula>
    </cfRule>
  </conditionalFormatting>
  <conditionalFormatting sqref="K11">
    <cfRule type="expression" dxfId="1" priority="2">
      <formula>K11="~"</formula>
    </cfRule>
  </conditionalFormatting>
  <conditionalFormatting sqref="K11">
    <cfRule type="expression" dxfId="2" priority="3">
      <formula>K11="⚠"</formula>
    </cfRule>
  </conditionalFormatting>
  <conditionalFormatting sqref="L11">
    <cfRule type="expression" dxfId="0" priority="4">
      <formula>L11="✓"</formula>
    </cfRule>
  </conditionalFormatting>
  <conditionalFormatting sqref="L11">
    <cfRule type="expression" dxfId="1" priority="5">
      <formula>L11="~"</formula>
    </cfRule>
  </conditionalFormatting>
  <conditionalFormatting sqref="L11">
    <cfRule type="expression" dxfId="2" priority="6">
      <formula>L11="⚠"</formula>
    </cfRule>
  </conditionalFormatting>
  <conditionalFormatting sqref="M11">
    <cfRule type="expression" dxfId="0" priority="7">
      <formula>M11="✓"</formula>
    </cfRule>
  </conditionalFormatting>
  <conditionalFormatting sqref="M11">
    <cfRule type="expression" dxfId="1" priority="8">
      <formula>M11="~"</formula>
    </cfRule>
  </conditionalFormatting>
  <conditionalFormatting sqref="M11">
    <cfRule type="expression" dxfId="2" priority="9">
      <formula>M11="⚠"</formula>
    </cfRule>
  </conditionalFormatting>
  <conditionalFormatting sqref="N11">
    <cfRule type="expression" dxfId="0" priority="10">
      <formula>N11="✓"</formula>
    </cfRule>
  </conditionalFormatting>
  <conditionalFormatting sqref="N11">
    <cfRule type="expression" dxfId="1" priority="11">
      <formula>N11="~"</formula>
    </cfRule>
  </conditionalFormatting>
  <conditionalFormatting sqref="N11">
    <cfRule type="expression" dxfId="2" priority="12">
      <formula>N11="⚠"</formula>
    </cfRule>
  </conditionalFormatting>
  <conditionalFormatting sqref="O11">
    <cfRule type="expression" dxfId="0" priority="13">
      <formula>O11="✓"</formula>
    </cfRule>
  </conditionalFormatting>
  <conditionalFormatting sqref="O11">
    <cfRule type="expression" dxfId="1" priority="14">
      <formula>O11="~"</formula>
    </cfRule>
  </conditionalFormatting>
  <conditionalFormatting sqref="O11">
    <cfRule type="expression" dxfId="2" priority="15">
      <formula>O11="⚠"</formula>
    </cfRule>
  </conditionalFormatting>
  <conditionalFormatting sqref="K12">
    <cfRule type="expression" dxfId="0" priority="16">
      <formula>K12="✓"</formula>
    </cfRule>
  </conditionalFormatting>
  <conditionalFormatting sqref="K12">
    <cfRule type="expression" dxfId="1" priority="17">
      <formula>K12="~"</formula>
    </cfRule>
  </conditionalFormatting>
  <conditionalFormatting sqref="K12">
    <cfRule type="expression" dxfId="2" priority="18">
      <formula>K12="⚠"</formula>
    </cfRule>
  </conditionalFormatting>
  <conditionalFormatting sqref="L12">
    <cfRule type="expression" dxfId="0" priority="19">
      <formula>L12="✓"</formula>
    </cfRule>
  </conditionalFormatting>
  <conditionalFormatting sqref="L12">
    <cfRule type="expression" dxfId="1" priority="20">
      <formula>L12="~"</formula>
    </cfRule>
  </conditionalFormatting>
  <conditionalFormatting sqref="L12">
    <cfRule type="expression" dxfId="2" priority="21">
      <formula>L12="⚠"</formula>
    </cfRule>
  </conditionalFormatting>
  <conditionalFormatting sqref="M12">
    <cfRule type="expression" dxfId="0" priority="22">
      <formula>M12="✓"</formula>
    </cfRule>
  </conditionalFormatting>
  <conditionalFormatting sqref="M12">
    <cfRule type="expression" dxfId="1" priority="23">
      <formula>M12="~"</formula>
    </cfRule>
  </conditionalFormatting>
  <conditionalFormatting sqref="M12">
    <cfRule type="expression" dxfId="2" priority="24">
      <formula>M12="⚠"</formula>
    </cfRule>
  </conditionalFormatting>
  <conditionalFormatting sqref="N12">
    <cfRule type="expression" dxfId="0" priority="25">
      <formula>N12="✓"</formula>
    </cfRule>
  </conditionalFormatting>
  <conditionalFormatting sqref="N12">
    <cfRule type="expression" dxfId="1" priority="26">
      <formula>N12="~"</formula>
    </cfRule>
  </conditionalFormatting>
  <conditionalFormatting sqref="N12">
    <cfRule type="expression" dxfId="2" priority="27">
      <formula>N12="⚠"</formula>
    </cfRule>
  </conditionalFormatting>
  <conditionalFormatting sqref="O12">
    <cfRule type="expression" dxfId="0" priority="28">
      <formula>O12="✓"</formula>
    </cfRule>
  </conditionalFormatting>
  <conditionalFormatting sqref="O12">
    <cfRule type="expression" dxfId="1" priority="29">
      <formula>O12="~"</formula>
    </cfRule>
  </conditionalFormatting>
  <conditionalFormatting sqref="O12">
    <cfRule type="expression" dxfId="2" priority="30">
      <formula>O12="⚠"</formula>
    </cfRule>
  </conditionalFormatting>
  <conditionalFormatting sqref="K13">
    <cfRule type="expression" dxfId="0" priority="31">
      <formula>K13="✓"</formula>
    </cfRule>
  </conditionalFormatting>
  <conditionalFormatting sqref="K13">
    <cfRule type="expression" dxfId="1" priority="32">
      <formula>K13="~"</formula>
    </cfRule>
  </conditionalFormatting>
  <conditionalFormatting sqref="K13">
    <cfRule type="expression" dxfId="2" priority="33">
      <formula>K13="⚠"</formula>
    </cfRule>
  </conditionalFormatting>
  <conditionalFormatting sqref="L13">
    <cfRule type="expression" dxfId="0" priority="34">
      <formula>L13="✓"</formula>
    </cfRule>
  </conditionalFormatting>
  <conditionalFormatting sqref="L13">
    <cfRule type="expression" dxfId="1" priority="35">
      <formula>L13="~"</formula>
    </cfRule>
  </conditionalFormatting>
  <conditionalFormatting sqref="L13">
    <cfRule type="expression" dxfId="2" priority="36">
      <formula>L13="⚠"</formula>
    </cfRule>
  </conditionalFormatting>
  <conditionalFormatting sqref="M13">
    <cfRule type="expression" dxfId="0" priority="37">
      <formula>M13="✓"</formula>
    </cfRule>
  </conditionalFormatting>
  <conditionalFormatting sqref="M13">
    <cfRule type="expression" dxfId="1" priority="38">
      <formula>M13="~"</formula>
    </cfRule>
  </conditionalFormatting>
  <conditionalFormatting sqref="M13">
    <cfRule type="expression" dxfId="2" priority="39">
      <formula>M13="⚠"</formula>
    </cfRule>
  </conditionalFormatting>
  <conditionalFormatting sqref="N13">
    <cfRule type="expression" dxfId="0" priority="40">
      <formula>N13="✓"</formula>
    </cfRule>
  </conditionalFormatting>
  <conditionalFormatting sqref="N13">
    <cfRule type="expression" dxfId="1" priority="41">
      <formula>N13="~"</formula>
    </cfRule>
  </conditionalFormatting>
  <conditionalFormatting sqref="N13">
    <cfRule type="expression" dxfId="2" priority="42">
      <formula>N13="⚠"</formula>
    </cfRule>
  </conditionalFormatting>
  <conditionalFormatting sqref="O13">
    <cfRule type="expression" dxfId="0" priority="43">
      <formula>O13="✓"</formula>
    </cfRule>
  </conditionalFormatting>
  <conditionalFormatting sqref="O13">
    <cfRule type="expression" dxfId="1" priority="44">
      <formula>O13="~"</formula>
    </cfRule>
  </conditionalFormatting>
  <conditionalFormatting sqref="O13">
    <cfRule type="expression" dxfId="2" priority="45">
      <formula>O13="⚠"</formula>
    </cfRule>
  </conditionalFormatting>
  <conditionalFormatting sqref="K14">
    <cfRule type="expression" dxfId="0" priority="46">
      <formula>K14="✓"</formula>
    </cfRule>
  </conditionalFormatting>
  <conditionalFormatting sqref="K14">
    <cfRule type="expression" dxfId="1" priority="47">
      <formula>K14="~"</formula>
    </cfRule>
  </conditionalFormatting>
  <conditionalFormatting sqref="K14">
    <cfRule type="expression" dxfId="2" priority="48">
      <formula>K14="⚠"</formula>
    </cfRule>
  </conditionalFormatting>
  <conditionalFormatting sqref="L14">
    <cfRule type="expression" dxfId="0" priority="49">
      <formula>L14="✓"</formula>
    </cfRule>
  </conditionalFormatting>
  <conditionalFormatting sqref="L14">
    <cfRule type="expression" dxfId="1" priority="50">
      <formula>L14="~"</formula>
    </cfRule>
  </conditionalFormatting>
  <conditionalFormatting sqref="L14">
    <cfRule type="expression" dxfId="2" priority="51">
      <formula>L14="⚠"</formula>
    </cfRule>
  </conditionalFormatting>
  <conditionalFormatting sqref="M14">
    <cfRule type="expression" dxfId="0" priority="52">
      <formula>M14="✓"</formula>
    </cfRule>
  </conditionalFormatting>
  <conditionalFormatting sqref="M14">
    <cfRule type="expression" dxfId="1" priority="53">
      <formula>M14="~"</formula>
    </cfRule>
  </conditionalFormatting>
  <conditionalFormatting sqref="M14">
    <cfRule type="expression" dxfId="2" priority="54">
      <formula>M14="⚠"</formula>
    </cfRule>
  </conditionalFormatting>
  <conditionalFormatting sqref="N14">
    <cfRule type="expression" dxfId="0" priority="55">
      <formula>N14="✓"</formula>
    </cfRule>
  </conditionalFormatting>
  <conditionalFormatting sqref="N14">
    <cfRule type="expression" dxfId="1" priority="56">
      <formula>N14="~"</formula>
    </cfRule>
  </conditionalFormatting>
  <conditionalFormatting sqref="N14">
    <cfRule type="expression" dxfId="2" priority="57">
      <formula>N14="⚠"</formula>
    </cfRule>
  </conditionalFormatting>
  <conditionalFormatting sqref="O14">
    <cfRule type="expression" dxfId="0" priority="58">
      <formula>O14="✓"</formula>
    </cfRule>
  </conditionalFormatting>
  <conditionalFormatting sqref="O14">
    <cfRule type="expression" dxfId="1" priority="59">
      <formula>O14="~"</formula>
    </cfRule>
  </conditionalFormatting>
  <conditionalFormatting sqref="O14">
    <cfRule type="expression" dxfId="2" priority="60">
      <formula>O14="⚠"</formula>
    </cfRule>
  </conditionalFormatting>
  <conditionalFormatting sqref="K15">
    <cfRule type="expression" dxfId="0" priority="61">
      <formula>K15="✓"</formula>
    </cfRule>
  </conditionalFormatting>
  <conditionalFormatting sqref="K15">
    <cfRule type="expression" dxfId="1" priority="62">
      <formula>K15="~"</formula>
    </cfRule>
  </conditionalFormatting>
  <conditionalFormatting sqref="K15">
    <cfRule type="expression" dxfId="2" priority="63">
      <formula>K15="⚠"</formula>
    </cfRule>
  </conditionalFormatting>
  <conditionalFormatting sqref="L15">
    <cfRule type="expression" dxfId="0" priority="64">
      <formula>L15="✓"</formula>
    </cfRule>
  </conditionalFormatting>
  <conditionalFormatting sqref="L15">
    <cfRule type="expression" dxfId="1" priority="65">
      <formula>L15="~"</formula>
    </cfRule>
  </conditionalFormatting>
  <conditionalFormatting sqref="L15">
    <cfRule type="expression" dxfId="2" priority="66">
      <formula>L15="⚠"</formula>
    </cfRule>
  </conditionalFormatting>
  <conditionalFormatting sqref="M15">
    <cfRule type="expression" dxfId="0" priority="67">
      <formula>M15="✓"</formula>
    </cfRule>
  </conditionalFormatting>
  <conditionalFormatting sqref="M15">
    <cfRule type="expression" dxfId="1" priority="68">
      <formula>M15="~"</formula>
    </cfRule>
  </conditionalFormatting>
  <conditionalFormatting sqref="M15">
    <cfRule type="expression" dxfId="2" priority="69">
      <formula>M15="⚠"</formula>
    </cfRule>
  </conditionalFormatting>
  <conditionalFormatting sqref="N15">
    <cfRule type="expression" dxfId="0" priority="70">
      <formula>N15="✓"</formula>
    </cfRule>
  </conditionalFormatting>
  <conditionalFormatting sqref="N15">
    <cfRule type="expression" dxfId="1" priority="71">
      <formula>N15="~"</formula>
    </cfRule>
  </conditionalFormatting>
  <conditionalFormatting sqref="N15">
    <cfRule type="expression" dxfId="2" priority="72">
      <formula>N15="⚠"</formula>
    </cfRule>
  </conditionalFormatting>
  <conditionalFormatting sqref="O15">
    <cfRule type="expression" dxfId="0" priority="73">
      <formula>O15="✓"</formula>
    </cfRule>
  </conditionalFormatting>
  <conditionalFormatting sqref="O15">
    <cfRule type="expression" dxfId="1" priority="74">
      <formula>O15="~"</formula>
    </cfRule>
  </conditionalFormatting>
  <conditionalFormatting sqref="O15">
    <cfRule type="expression" dxfId="2" priority="75">
      <formula>O15="⚠"</formula>
    </cfRule>
  </conditionalFormatting>
  <conditionalFormatting sqref="K16">
    <cfRule type="expression" dxfId="0" priority="76">
      <formula>K16="✓"</formula>
    </cfRule>
  </conditionalFormatting>
  <conditionalFormatting sqref="K16">
    <cfRule type="expression" dxfId="1" priority="77">
      <formula>K16="~"</formula>
    </cfRule>
  </conditionalFormatting>
  <conditionalFormatting sqref="K16">
    <cfRule type="expression" dxfId="2" priority="78">
      <formula>K16="⚠"</formula>
    </cfRule>
  </conditionalFormatting>
  <conditionalFormatting sqref="L16">
    <cfRule type="expression" dxfId="0" priority="79">
      <formula>L16="✓"</formula>
    </cfRule>
  </conditionalFormatting>
  <conditionalFormatting sqref="L16">
    <cfRule type="expression" dxfId="1" priority="80">
      <formula>L16="~"</formula>
    </cfRule>
  </conditionalFormatting>
  <conditionalFormatting sqref="L16">
    <cfRule type="expression" dxfId="2" priority="81">
      <formula>L16="⚠"</formula>
    </cfRule>
  </conditionalFormatting>
  <conditionalFormatting sqref="M16">
    <cfRule type="expression" dxfId="0" priority="82">
      <formula>M16="✓"</formula>
    </cfRule>
  </conditionalFormatting>
  <conditionalFormatting sqref="M16">
    <cfRule type="expression" dxfId="1" priority="83">
      <formula>M16="~"</formula>
    </cfRule>
  </conditionalFormatting>
  <conditionalFormatting sqref="M16">
    <cfRule type="expression" dxfId="2" priority="84">
      <formula>M16="⚠"</formula>
    </cfRule>
  </conditionalFormatting>
  <conditionalFormatting sqref="N16">
    <cfRule type="expression" dxfId="0" priority="85">
      <formula>N16="✓"</formula>
    </cfRule>
  </conditionalFormatting>
  <conditionalFormatting sqref="N16">
    <cfRule type="expression" dxfId="1" priority="86">
      <formula>N16="~"</formula>
    </cfRule>
  </conditionalFormatting>
  <conditionalFormatting sqref="N16">
    <cfRule type="expression" dxfId="2" priority="87">
      <formula>N16="⚠"</formula>
    </cfRule>
  </conditionalFormatting>
  <conditionalFormatting sqref="O16">
    <cfRule type="expression" dxfId="0" priority="88">
      <formula>O16="✓"</formula>
    </cfRule>
  </conditionalFormatting>
  <conditionalFormatting sqref="O16">
    <cfRule type="expression" dxfId="1" priority="89">
      <formula>O16="~"</formula>
    </cfRule>
  </conditionalFormatting>
  <conditionalFormatting sqref="O16">
    <cfRule type="expression" dxfId="2" priority="90">
      <formula>O16="⚠"</formula>
    </cfRule>
  </conditionalFormatting>
  <dataValidations>
    <dataValidation type="list" allowBlank="1" sqref="C7">
      <formula1>"A0,A1−,A1,A1+,A2−,A2,A2+,B1−,B1,B1+,B1.5−,B1.5,B1.5+,B2−,B2,B2+,B2.5−,B2.5,B2.5+,C1−,C1,C1+"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5FA5"/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2.0"/>
    <col customWidth="1" min="2" max="2" width="14.0"/>
    <col customWidth="1" min="3" max="3" width="12.0"/>
    <col customWidth="1" min="4" max="25" width="22.0"/>
    <col customWidth="1" min="26" max="26" width="8.71"/>
  </cols>
  <sheetData>
    <row r="1" ht="7.5" customHeight="1"/>
    <row r="2" ht="25.5" customHeight="1">
      <c r="B2" s="82" t="s">
        <v>371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</row>
    <row r="3" ht="15.75" customHeight="1">
      <c r="B3" s="83" t="s">
        <v>372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2"/>
    </row>
    <row r="4" ht="6.0" customHeight="1"/>
    <row r="5" ht="42.0" customHeight="1">
      <c r="B5" s="32" t="s">
        <v>1</v>
      </c>
      <c r="C5" s="4" t="s">
        <v>373</v>
      </c>
      <c r="D5" s="34" t="s">
        <v>316</v>
      </c>
      <c r="E5" s="37" t="s">
        <v>319</v>
      </c>
      <c r="F5" s="37" t="s">
        <v>322</v>
      </c>
      <c r="G5" s="37" t="s">
        <v>324</v>
      </c>
      <c r="H5" s="37" t="s">
        <v>326</v>
      </c>
      <c r="I5" s="37" t="s">
        <v>327</v>
      </c>
      <c r="J5" s="37" t="s">
        <v>328</v>
      </c>
      <c r="K5" s="84" t="s">
        <v>329</v>
      </c>
      <c r="L5" s="84" t="s">
        <v>330</v>
      </c>
      <c r="M5" s="84" t="s">
        <v>331</v>
      </c>
      <c r="N5" s="85" t="s">
        <v>332</v>
      </c>
      <c r="O5" s="85" t="s">
        <v>333</v>
      </c>
      <c r="P5" s="85" t="s">
        <v>334</v>
      </c>
      <c r="Q5" s="39" t="s">
        <v>335</v>
      </c>
      <c r="R5" s="39" t="s">
        <v>336</v>
      </c>
      <c r="S5" s="39" t="s">
        <v>337</v>
      </c>
      <c r="T5" s="85" t="s">
        <v>338</v>
      </c>
      <c r="U5" s="85" t="s">
        <v>339</v>
      </c>
      <c r="V5" s="85" t="s">
        <v>340</v>
      </c>
      <c r="W5" s="34" t="s">
        <v>341</v>
      </c>
      <c r="X5" s="34" t="s">
        <v>342</v>
      </c>
      <c r="Y5" s="34" t="s">
        <v>343</v>
      </c>
    </row>
    <row r="6" ht="19.5" customHeight="1">
      <c r="B6" s="86" t="s">
        <v>22</v>
      </c>
      <c r="C6" s="87" t="s">
        <v>2</v>
      </c>
      <c r="D6" s="88" t="s">
        <v>23</v>
      </c>
      <c r="E6" s="89" t="s">
        <v>23</v>
      </c>
      <c r="F6" s="89" t="s">
        <v>23</v>
      </c>
      <c r="G6" s="89" t="s">
        <v>23</v>
      </c>
      <c r="H6" s="89" t="s">
        <v>23</v>
      </c>
      <c r="I6" s="89" t="s">
        <v>23</v>
      </c>
      <c r="J6" s="89" t="s">
        <v>23</v>
      </c>
      <c r="K6" s="90" t="s">
        <v>23</v>
      </c>
      <c r="L6" s="90" t="s">
        <v>23</v>
      </c>
      <c r="M6" s="90" t="s">
        <v>23</v>
      </c>
      <c r="N6" s="91" t="s">
        <v>62</v>
      </c>
      <c r="O6" s="91" t="s">
        <v>62</v>
      </c>
      <c r="P6" s="91" t="s">
        <v>62</v>
      </c>
      <c r="Q6" s="92" t="s">
        <v>62</v>
      </c>
      <c r="R6" s="92" t="s">
        <v>62</v>
      </c>
      <c r="S6" s="92" t="s">
        <v>62</v>
      </c>
      <c r="T6" s="91" t="s">
        <v>173</v>
      </c>
      <c r="U6" s="91" t="s">
        <v>173</v>
      </c>
      <c r="V6" s="91" t="s">
        <v>173</v>
      </c>
      <c r="W6" s="88" t="s">
        <v>173</v>
      </c>
      <c r="X6" s="88" t="s">
        <v>173</v>
      </c>
      <c r="Y6" s="88" t="s">
        <v>173</v>
      </c>
    </row>
    <row r="7" ht="19.5" customHeight="1">
      <c r="B7" s="93"/>
      <c r="C7" s="94" t="s">
        <v>3</v>
      </c>
      <c r="D7" s="95" t="s">
        <v>374</v>
      </c>
      <c r="E7" s="95" t="s">
        <v>375</v>
      </c>
      <c r="F7" s="95" t="s">
        <v>375</v>
      </c>
      <c r="G7" s="95" t="s">
        <v>375</v>
      </c>
      <c r="H7" s="95" t="s">
        <v>375</v>
      </c>
      <c r="I7" s="95" t="s">
        <v>375</v>
      </c>
      <c r="J7" s="95" t="s">
        <v>375</v>
      </c>
      <c r="K7" s="95" t="s">
        <v>375</v>
      </c>
      <c r="L7" s="95" t="s">
        <v>375</v>
      </c>
      <c r="M7" s="95" t="s">
        <v>375</v>
      </c>
      <c r="N7" s="95" t="s">
        <v>375</v>
      </c>
      <c r="O7" s="95" t="s">
        <v>375</v>
      </c>
      <c r="P7" s="95" t="s">
        <v>375</v>
      </c>
      <c r="Q7" s="95" t="s">
        <v>375</v>
      </c>
      <c r="R7" s="95" t="s">
        <v>375</v>
      </c>
      <c r="S7" s="95" t="s">
        <v>375</v>
      </c>
      <c r="T7" s="95" t="s">
        <v>375</v>
      </c>
      <c r="U7" s="95" t="s">
        <v>375</v>
      </c>
      <c r="V7" s="95" t="s">
        <v>375</v>
      </c>
      <c r="W7" s="95" t="s">
        <v>375</v>
      </c>
      <c r="X7" s="95" t="s">
        <v>375</v>
      </c>
      <c r="Y7" s="95" t="s">
        <v>375</v>
      </c>
    </row>
    <row r="8" ht="19.5" customHeight="1">
      <c r="B8" s="96"/>
      <c r="C8" s="97" t="s">
        <v>376</v>
      </c>
      <c r="D8" s="98" t="s">
        <v>377</v>
      </c>
      <c r="E8" s="98" t="s">
        <v>377</v>
      </c>
      <c r="F8" s="98" t="s">
        <v>377</v>
      </c>
      <c r="G8" s="98" t="s">
        <v>377</v>
      </c>
      <c r="H8" s="98" t="s">
        <v>377</v>
      </c>
      <c r="I8" s="98" t="s">
        <v>377</v>
      </c>
      <c r="J8" s="98" t="s">
        <v>377</v>
      </c>
      <c r="K8" s="98" t="s">
        <v>377</v>
      </c>
      <c r="L8" s="98" t="s">
        <v>377</v>
      </c>
      <c r="M8" s="98" t="s">
        <v>377</v>
      </c>
      <c r="N8" s="98" t="s">
        <v>377</v>
      </c>
      <c r="O8" s="98" t="s">
        <v>377</v>
      </c>
      <c r="P8" s="98" t="s">
        <v>377</v>
      </c>
      <c r="Q8" s="98" t="s">
        <v>377</v>
      </c>
      <c r="R8" s="98" t="s">
        <v>377</v>
      </c>
      <c r="S8" s="98" t="s">
        <v>377</v>
      </c>
      <c r="T8" s="98" t="s">
        <v>377</v>
      </c>
      <c r="U8" s="98" t="s">
        <v>377</v>
      </c>
      <c r="V8" s="98" t="s">
        <v>377</v>
      </c>
      <c r="W8" s="98" t="s">
        <v>377</v>
      </c>
      <c r="X8" s="98" t="s">
        <v>377</v>
      </c>
      <c r="Y8" s="98" t="s">
        <v>377</v>
      </c>
    </row>
    <row r="9" ht="3.75" customHeight="1">
      <c r="B9" s="9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2"/>
    </row>
    <row r="10" ht="19.5" customHeight="1">
      <c r="B10" s="100" t="s">
        <v>36</v>
      </c>
      <c r="C10" s="101" t="s">
        <v>2</v>
      </c>
      <c r="D10" s="88" t="s">
        <v>23</v>
      </c>
      <c r="E10" s="89" t="s">
        <v>23</v>
      </c>
      <c r="F10" s="89" t="s">
        <v>23</v>
      </c>
      <c r="G10" s="89" t="s">
        <v>23</v>
      </c>
      <c r="H10" s="89" t="s">
        <v>23</v>
      </c>
      <c r="I10" s="89" t="s">
        <v>23</v>
      </c>
      <c r="J10" s="89" t="s">
        <v>23</v>
      </c>
      <c r="K10" s="90" t="s">
        <v>23</v>
      </c>
      <c r="L10" s="90" t="s">
        <v>23</v>
      </c>
      <c r="M10" s="90" t="s">
        <v>23</v>
      </c>
      <c r="N10" s="91" t="s">
        <v>62</v>
      </c>
      <c r="O10" s="91" t="s">
        <v>62</v>
      </c>
      <c r="P10" s="91" t="s">
        <v>62</v>
      </c>
      <c r="Q10" s="92" t="s">
        <v>62</v>
      </c>
      <c r="R10" s="92" t="s">
        <v>62</v>
      </c>
      <c r="S10" s="92" t="s">
        <v>62</v>
      </c>
      <c r="T10" s="91" t="s">
        <v>173</v>
      </c>
      <c r="U10" s="91" t="s">
        <v>173</v>
      </c>
      <c r="V10" s="91" t="s">
        <v>173</v>
      </c>
      <c r="W10" s="88" t="s">
        <v>173</v>
      </c>
      <c r="X10" s="88" t="s">
        <v>173</v>
      </c>
      <c r="Y10" s="88" t="s">
        <v>173</v>
      </c>
    </row>
    <row r="11" ht="19.5" customHeight="1">
      <c r="B11" s="93"/>
      <c r="C11" s="94" t="s">
        <v>3</v>
      </c>
      <c r="D11" s="95" t="s">
        <v>378</v>
      </c>
      <c r="E11" s="95" t="s">
        <v>375</v>
      </c>
      <c r="F11" s="95" t="s">
        <v>375</v>
      </c>
      <c r="G11" s="95" t="s">
        <v>375</v>
      </c>
      <c r="H11" s="95" t="s">
        <v>375</v>
      </c>
      <c r="I11" s="95" t="s">
        <v>375</v>
      </c>
      <c r="J11" s="95" t="s">
        <v>375</v>
      </c>
      <c r="K11" s="95" t="s">
        <v>375</v>
      </c>
      <c r="L11" s="95" t="s">
        <v>375</v>
      </c>
      <c r="M11" s="95" t="s">
        <v>375</v>
      </c>
      <c r="N11" s="95" t="s">
        <v>375</v>
      </c>
      <c r="O11" s="95" t="s">
        <v>375</v>
      </c>
      <c r="P11" s="95" t="s">
        <v>375</v>
      </c>
      <c r="Q11" s="95" t="s">
        <v>375</v>
      </c>
      <c r="R11" s="95" t="s">
        <v>375</v>
      </c>
      <c r="S11" s="95" t="s">
        <v>375</v>
      </c>
      <c r="T11" s="95" t="s">
        <v>375</v>
      </c>
      <c r="U11" s="95" t="s">
        <v>375</v>
      </c>
      <c r="V11" s="95" t="s">
        <v>375</v>
      </c>
      <c r="W11" s="95" t="s">
        <v>375</v>
      </c>
      <c r="X11" s="95" t="s">
        <v>375</v>
      </c>
      <c r="Y11" s="95" t="s">
        <v>375</v>
      </c>
    </row>
    <row r="12" ht="19.5" customHeight="1">
      <c r="B12" s="96"/>
      <c r="C12" s="97" t="s">
        <v>376</v>
      </c>
      <c r="D12" s="98" t="s">
        <v>377</v>
      </c>
      <c r="E12" s="98" t="s">
        <v>377</v>
      </c>
      <c r="F12" s="98" t="s">
        <v>377</v>
      </c>
      <c r="G12" s="98" t="s">
        <v>377</v>
      </c>
      <c r="H12" s="98" t="s">
        <v>377</v>
      </c>
      <c r="I12" s="98" t="s">
        <v>377</v>
      </c>
      <c r="J12" s="98" t="s">
        <v>377</v>
      </c>
      <c r="K12" s="98" t="s">
        <v>377</v>
      </c>
      <c r="L12" s="98" t="s">
        <v>377</v>
      </c>
      <c r="M12" s="98" t="s">
        <v>377</v>
      </c>
      <c r="N12" s="98" t="s">
        <v>377</v>
      </c>
      <c r="O12" s="98" t="s">
        <v>377</v>
      </c>
      <c r="P12" s="98" t="s">
        <v>377</v>
      </c>
      <c r="Q12" s="98" t="s">
        <v>377</v>
      </c>
      <c r="R12" s="98" t="s">
        <v>377</v>
      </c>
      <c r="S12" s="98" t="s">
        <v>377</v>
      </c>
      <c r="T12" s="98" t="s">
        <v>377</v>
      </c>
      <c r="U12" s="98" t="s">
        <v>377</v>
      </c>
      <c r="V12" s="98" t="s">
        <v>377</v>
      </c>
      <c r="W12" s="98" t="s">
        <v>377</v>
      </c>
      <c r="X12" s="98" t="s">
        <v>377</v>
      </c>
      <c r="Y12" s="98" t="s">
        <v>377</v>
      </c>
    </row>
    <row r="13" ht="3.75" customHeight="1">
      <c r="B13" s="99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</row>
    <row r="14" ht="19.5" customHeight="1">
      <c r="B14" s="102" t="s">
        <v>40</v>
      </c>
      <c r="C14" s="103" t="s">
        <v>2</v>
      </c>
      <c r="D14" s="88" t="s">
        <v>37</v>
      </c>
      <c r="E14" s="89" t="s">
        <v>62</v>
      </c>
      <c r="F14" s="89" t="s">
        <v>62</v>
      </c>
      <c r="G14" s="89" t="s">
        <v>62</v>
      </c>
      <c r="H14" s="89" t="s">
        <v>62</v>
      </c>
      <c r="I14" s="89" t="s">
        <v>62</v>
      </c>
      <c r="J14" s="89" t="s">
        <v>62</v>
      </c>
      <c r="K14" s="90" t="s">
        <v>62</v>
      </c>
      <c r="L14" s="90" t="s">
        <v>62</v>
      </c>
      <c r="M14" s="90" t="s">
        <v>62</v>
      </c>
      <c r="N14" s="91" t="s">
        <v>62</v>
      </c>
      <c r="O14" s="91" t="s">
        <v>62</v>
      </c>
      <c r="P14" s="91" t="s">
        <v>62</v>
      </c>
      <c r="Q14" s="92" t="s">
        <v>62</v>
      </c>
      <c r="R14" s="92" t="s">
        <v>62</v>
      </c>
      <c r="S14" s="92" t="s">
        <v>62</v>
      </c>
      <c r="T14" s="91" t="s">
        <v>173</v>
      </c>
      <c r="U14" s="91" t="s">
        <v>173</v>
      </c>
      <c r="V14" s="91" t="s">
        <v>173</v>
      </c>
      <c r="W14" s="88" t="s">
        <v>173</v>
      </c>
      <c r="X14" s="88" t="s">
        <v>173</v>
      </c>
      <c r="Y14" s="88" t="s">
        <v>173</v>
      </c>
    </row>
    <row r="15" ht="19.5" customHeight="1">
      <c r="B15" s="93"/>
      <c r="C15" s="94" t="s">
        <v>3</v>
      </c>
      <c r="D15" s="95" t="s">
        <v>379</v>
      </c>
      <c r="E15" s="95" t="s">
        <v>375</v>
      </c>
      <c r="F15" s="95" t="s">
        <v>375</v>
      </c>
      <c r="G15" s="95" t="s">
        <v>375</v>
      </c>
      <c r="H15" s="95" t="s">
        <v>375</v>
      </c>
      <c r="I15" s="95" t="s">
        <v>375</v>
      </c>
      <c r="J15" s="95" t="s">
        <v>375</v>
      </c>
      <c r="K15" s="95" t="s">
        <v>375</v>
      </c>
      <c r="L15" s="95" t="s">
        <v>375</v>
      </c>
      <c r="M15" s="95" t="s">
        <v>375</v>
      </c>
      <c r="N15" s="95" t="s">
        <v>375</v>
      </c>
      <c r="O15" s="95" t="s">
        <v>375</v>
      </c>
      <c r="P15" s="95" t="s">
        <v>375</v>
      </c>
      <c r="Q15" s="95" t="s">
        <v>375</v>
      </c>
      <c r="R15" s="95" t="s">
        <v>375</v>
      </c>
      <c r="S15" s="95" t="s">
        <v>375</v>
      </c>
      <c r="T15" s="95" t="s">
        <v>375</v>
      </c>
      <c r="U15" s="95" t="s">
        <v>375</v>
      </c>
      <c r="V15" s="95" t="s">
        <v>375</v>
      </c>
      <c r="W15" s="95" t="s">
        <v>375</v>
      </c>
      <c r="X15" s="95" t="s">
        <v>375</v>
      </c>
      <c r="Y15" s="95" t="s">
        <v>375</v>
      </c>
    </row>
    <row r="16" ht="19.5" customHeight="1">
      <c r="B16" s="96"/>
      <c r="C16" s="97" t="s">
        <v>376</v>
      </c>
      <c r="D16" s="98" t="s">
        <v>377</v>
      </c>
      <c r="E16" s="98" t="s">
        <v>377</v>
      </c>
      <c r="F16" s="98" t="s">
        <v>377</v>
      </c>
      <c r="G16" s="98" t="s">
        <v>377</v>
      </c>
      <c r="H16" s="98" t="s">
        <v>377</v>
      </c>
      <c r="I16" s="98" t="s">
        <v>377</v>
      </c>
      <c r="J16" s="98" t="s">
        <v>377</v>
      </c>
      <c r="K16" s="98" t="s">
        <v>377</v>
      </c>
      <c r="L16" s="98" t="s">
        <v>377</v>
      </c>
      <c r="M16" s="98" t="s">
        <v>377</v>
      </c>
      <c r="N16" s="98" t="s">
        <v>377</v>
      </c>
      <c r="O16" s="98" t="s">
        <v>377</v>
      </c>
      <c r="P16" s="98" t="s">
        <v>377</v>
      </c>
      <c r="Q16" s="98" t="s">
        <v>377</v>
      </c>
      <c r="R16" s="98" t="s">
        <v>377</v>
      </c>
      <c r="S16" s="98" t="s">
        <v>377</v>
      </c>
      <c r="T16" s="98" t="s">
        <v>377</v>
      </c>
      <c r="U16" s="98" t="s">
        <v>377</v>
      </c>
      <c r="V16" s="98" t="s">
        <v>377</v>
      </c>
      <c r="W16" s="98" t="s">
        <v>377</v>
      </c>
      <c r="X16" s="98" t="s">
        <v>377</v>
      </c>
      <c r="Y16" s="98" t="s">
        <v>377</v>
      </c>
    </row>
    <row r="17" ht="3.75" customHeight="1">
      <c r="B17" s="99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2"/>
    </row>
    <row r="18" ht="19.5" customHeight="1">
      <c r="B18" s="104" t="s">
        <v>47</v>
      </c>
      <c r="C18" s="105" t="s">
        <v>2</v>
      </c>
      <c r="D18" s="88" t="s">
        <v>23</v>
      </c>
      <c r="E18" s="89" t="s">
        <v>23</v>
      </c>
      <c r="F18" s="89" t="s">
        <v>23</v>
      </c>
      <c r="G18" s="89" t="s">
        <v>23</v>
      </c>
      <c r="H18" s="89" t="s">
        <v>23</v>
      </c>
      <c r="I18" s="89" t="s">
        <v>23</v>
      </c>
      <c r="J18" s="89" t="s">
        <v>23</v>
      </c>
      <c r="K18" s="90" t="s">
        <v>23</v>
      </c>
      <c r="L18" s="90" t="s">
        <v>23</v>
      </c>
      <c r="M18" s="90" t="s">
        <v>23</v>
      </c>
      <c r="N18" s="91" t="s">
        <v>173</v>
      </c>
      <c r="O18" s="91" t="s">
        <v>173</v>
      </c>
      <c r="P18" s="91" t="s">
        <v>173</v>
      </c>
      <c r="Q18" s="92" t="s">
        <v>173</v>
      </c>
      <c r="R18" s="92" t="s">
        <v>173</v>
      </c>
      <c r="S18" s="92" t="s">
        <v>173</v>
      </c>
      <c r="T18" s="91" t="s">
        <v>173</v>
      </c>
      <c r="U18" s="91" t="s">
        <v>173</v>
      </c>
      <c r="V18" s="91" t="s">
        <v>173</v>
      </c>
      <c r="W18" s="88" t="s">
        <v>173</v>
      </c>
      <c r="X18" s="88" t="s">
        <v>173</v>
      </c>
      <c r="Y18" s="88" t="s">
        <v>173</v>
      </c>
    </row>
    <row r="19" ht="19.5" customHeight="1">
      <c r="B19" s="93"/>
      <c r="C19" s="94" t="s">
        <v>3</v>
      </c>
      <c r="D19" s="95" t="s">
        <v>374</v>
      </c>
      <c r="E19" s="95" t="s">
        <v>375</v>
      </c>
      <c r="F19" s="95" t="s">
        <v>375</v>
      </c>
      <c r="G19" s="95" t="s">
        <v>375</v>
      </c>
      <c r="H19" s="95" t="s">
        <v>375</v>
      </c>
      <c r="I19" s="95" t="s">
        <v>375</v>
      </c>
      <c r="J19" s="95" t="s">
        <v>375</v>
      </c>
      <c r="K19" s="95" t="s">
        <v>375</v>
      </c>
      <c r="L19" s="95" t="s">
        <v>375</v>
      </c>
      <c r="M19" s="95" t="s">
        <v>375</v>
      </c>
      <c r="N19" s="95" t="s">
        <v>375</v>
      </c>
      <c r="O19" s="95" t="s">
        <v>375</v>
      </c>
      <c r="P19" s="95" t="s">
        <v>375</v>
      </c>
      <c r="Q19" s="95" t="s">
        <v>375</v>
      </c>
      <c r="R19" s="95" t="s">
        <v>375</v>
      </c>
      <c r="S19" s="95" t="s">
        <v>375</v>
      </c>
      <c r="T19" s="95" t="s">
        <v>375</v>
      </c>
      <c r="U19" s="95" t="s">
        <v>375</v>
      </c>
      <c r="V19" s="95" t="s">
        <v>375</v>
      </c>
      <c r="W19" s="95" t="s">
        <v>375</v>
      </c>
      <c r="X19" s="95" t="s">
        <v>375</v>
      </c>
      <c r="Y19" s="95" t="s">
        <v>375</v>
      </c>
    </row>
    <row r="20" ht="19.5" customHeight="1">
      <c r="B20" s="96"/>
      <c r="C20" s="97" t="s">
        <v>376</v>
      </c>
      <c r="D20" s="98" t="s">
        <v>377</v>
      </c>
      <c r="E20" s="98" t="s">
        <v>377</v>
      </c>
      <c r="F20" s="98" t="s">
        <v>377</v>
      </c>
      <c r="G20" s="98" t="s">
        <v>377</v>
      </c>
      <c r="H20" s="98" t="s">
        <v>377</v>
      </c>
      <c r="I20" s="98" t="s">
        <v>377</v>
      </c>
      <c r="J20" s="98" t="s">
        <v>377</v>
      </c>
      <c r="K20" s="98" t="s">
        <v>377</v>
      </c>
      <c r="L20" s="98" t="s">
        <v>377</v>
      </c>
      <c r="M20" s="98" t="s">
        <v>377</v>
      </c>
      <c r="N20" s="98" t="s">
        <v>377</v>
      </c>
      <c r="O20" s="98" t="s">
        <v>377</v>
      </c>
      <c r="P20" s="98" t="s">
        <v>377</v>
      </c>
      <c r="Q20" s="98" t="s">
        <v>377</v>
      </c>
      <c r="R20" s="98" t="s">
        <v>377</v>
      </c>
      <c r="S20" s="98" t="s">
        <v>377</v>
      </c>
      <c r="T20" s="98" t="s">
        <v>377</v>
      </c>
      <c r="U20" s="98" t="s">
        <v>377</v>
      </c>
      <c r="V20" s="98" t="s">
        <v>377</v>
      </c>
      <c r="W20" s="98" t="s">
        <v>377</v>
      </c>
      <c r="X20" s="98" t="s">
        <v>377</v>
      </c>
      <c r="Y20" s="98" t="s">
        <v>377</v>
      </c>
    </row>
    <row r="21" ht="3.75" customHeight="1">
      <c r="B21" s="99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</row>
    <row r="22" ht="19.5" customHeight="1">
      <c r="B22" s="106" t="s">
        <v>50</v>
      </c>
      <c r="C22" s="97" t="s">
        <v>2</v>
      </c>
      <c r="D22" s="88" t="s">
        <v>23</v>
      </c>
      <c r="E22" s="89" t="s">
        <v>23</v>
      </c>
      <c r="F22" s="89" t="s">
        <v>23</v>
      </c>
      <c r="G22" s="89" t="s">
        <v>23</v>
      </c>
      <c r="H22" s="89" t="s">
        <v>23</v>
      </c>
      <c r="I22" s="89" t="s">
        <v>23</v>
      </c>
      <c r="J22" s="89" t="s">
        <v>23</v>
      </c>
      <c r="K22" s="90" t="s">
        <v>23</v>
      </c>
      <c r="L22" s="90" t="s">
        <v>23</v>
      </c>
      <c r="M22" s="90" t="s">
        <v>23</v>
      </c>
      <c r="N22" s="91" t="s">
        <v>177</v>
      </c>
      <c r="O22" s="91" t="s">
        <v>177</v>
      </c>
      <c r="P22" s="91" t="s">
        <v>177</v>
      </c>
      <c r="Q22" s="92" t="s">
        <v>177</v>
      </c>
      <c r="R22" s="92" t="s">
        <v>177</v>
      </c>
      <c r="S22" s="92" t="s">
        <v>177</v>
      </c>
      <c r="T22" s="91" t="s">
        <v>177</v>
      </c>
      <c r="U22" s="91" t="s">
        <v>177</v>
      </c>
      <c r="V22" s="91" t="s">
        <v>177</v>
      </c>
      <c r="W22" s="88" t="s">
        <v>177</v>
      </c>
      <c r="X22" s="88" t="s">
        <v>177</v>
      </c>
      <c r="Y22" s="88" t="s">
        <v>177</v>
      </c>
    </row>
    <row r="23" ht="19.5" customHeight="1">
      <c r="B23" s="93"/>
      <c r="C23" s="94" t="s">
        <v>3</v>
      </c>
      <c r="D23" s="95" t="s">
        <v>379</v>
      </c>
      <c r="E23" s="95" t="s">
        <v>375</v>
      </c>
      <c r="F23" s="95" t="s">
        <v>375</v>
      </c>
      <c r="G23" s="95" t="s">
        <v>375</v>
      </c>
      <c r="H23" s="95" t="s">
        <v>375</v>
      </c>
      <c r="I23" s="95" t="s">
        <v>375</v>
      </c>
      <c r="J23" s="95" t="s">
        <v>375</v>
      </c>
      <c r="K23" s="95" t="s">
        <v>375</v>
      </c>
      <c r="L23" s="95" t="s">
        <v>375</v>
      </c>
      <c r="M23" s="95" t="s">
        <v>375</v>
      </c>
      <c r="N23" s="95" t="s">
        <v>375</v>
      </c>
      <c r="O23" s="95" t="s">
        <v>375</v>
      </c>
      <c r="P23" s="95" t="s">
        <v>375</v>
      </c>
      <c r="Q23" s="95" t="s">
        <v>375</v>
      </c>
      <c r="R23" s="95" t="s">
        <v>375</v>
      </c>
      <c r="S23" s="95" t="s">
        <v>375</v>
      </c>
      <c r="T23" s="95" t="s">
        <v>375</v>
      </c>
      <c r="U23" s="95" t="s">
        <v>375</v>
      </c>
      <c r="V23" s="95" t="s">
        <v>375</v>
      </c>
      <c r="W23" s="95" t="s">
        <v>375</v>
      </c>
      <c r="X23" s="95" t="s">
        <v>375</v>
      </c>
      <c r="Y23" s="95" t="s">
        <v>375</v>
      </c>
    </row>
    <row r="24" ht="19.5" customHeight="1">
      <c r="B24" s="96"/>
      <c r="C24" s="97" t="s">
        <v>376</v>
      </c>
      <c r="D24" s="98" t="s">
        <v>377</v>
      </c>
      <c r="E24" s="98" t="s">
        <v>377</v>
      </c>
      <c r="F24" s="98" t="s">
        <v>377</v>
      </c>
      <c r="G24" s="98" t="s">
        <v>377</v>
      </c>
      <c r="H24" s="98" t="s">
        <v>377</v>
      </c>
      <c r="I24" s="98" t="s">
        <v>377</v>
      </c>
      <c r="J24" s="98" t="s">
        <v>377</v>
      </c>
      <c r="K24" s="98" t="s">
        <v>377</v>
      </c>
      <c r="L24" s="98" t="s">
        <v>377</v>
      </c>
      <c r="M24" s="98" t="s">
        <v>377</v>
      </c>
      <c r="N24" s="98" t="s">
        <v>377</v>
      </c>
      <c r="O24" s="98" t="s">
        <v>377</v>
      </c>
      <c r="P24" s="98" t="s">
        <v>377</v>
      </c>
      <c r="Q24" s="98" t="s">
        <v>377</v>
      </c>
      <c r="R24" s="98" t="s">
        <v>377</v>
      </c>
      <c r="S24" s="98" t="s">
        <v>377</v>
      </c>
      <c r="T24" s="98" t="s">
        <v>377</v>
      </c>
      <c r="U24" s="98" t="s">
        <v>377</v>
      </c>
      <c r="V24" s="98" t="s">
        <v>377</v>
      </c>
      <c r="W24" s="98" t="s">
        <v>377</v>
      </c>
      <c r="X24" s="98" t="s">
        <v>377</v>
      </c>
      <c r="Y24" s="98" t="s">
        <v>377</v>
      </c>
    </row>
    <row r="25" ht="3.75" customHeight="1">
      <c r="B25" s="99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</row>
    <row r="26" ht="19.5" customHeight="1">
      <c r="B26" s="107" t="s">
        <v>53</v>
      </c>
      <c r="C26" s="108" t="s">
        <v>2</v>
      </c>
      <c r="D26" s="88" t="s">
        <v>23</v>
      </c>
      <c r="E26" s="89" t="s">
        <v>23</v>
      </c>
      <c r="F26" s="89" t="s">
        <v>23</v>
      </c>
      <c r="G26" s="89" t="s">
        <v>23</v>
      </c>
      <c r="H26" s="89" t="s">
        <v>23</v>
      </c>
      <c r="I26" s="89" t="s">
        <v>23</v>
      </c>
      <c r="J26" s="89" t="s">
        <v>23</v>
      </c>
      <c r="K26" s="90" t="s">
        <v>23</v>
      </c>
      <c r="L26" s="90" t="s">
        <v>23</v>
      </c>
      <c r="M26" s="90" t="s">
        <v>23</v>
      </c>
      <c r="N26" s="91" t="s">
        <v>62</v>
      </c>
      <c r="O26" s="91" t="s">
        <v>62</v>
      </c>
      <c r="P26" s="91" t="s">
        <v>62</v>
      </c>
      <c r="Q26" s="92" t="s">
        <v>62</v>
      </c>
      <c r="R26" s="92" t="s">
        <v>62</v>
      </c>
      <c r="S26" s="92" t="s">
        <v>62</v>
      </c>
      <c r="T26" s="91" t="s">
        <v>173</v>
      </c>
      <c r="U26" s="91" t="s">
        <v>173</v>
      </c>
      <c r="V26" s="91" t="s">
        <v>173</v>
      </c>
      <c r="W26" s="88" t="s">
        <v>173</v>
      </c>
      <c r="X26" s="88" t="s">
        <v>173</v>
      </c>
      <c r="Y26" s="88" t="s">
        <v>173</v>
      </c>
    </row>
    <row r="27" ht="19.5" customHeight="1">
      <c r="B27" s="93"/>
      <c r="C27" s="94" t="s">
        <v>3</v>
      </c>
      <c r="D27" s="95" t="s">
        <v>374</v>
      </c>
      <c r="E27" s="95" t="s">
        <v>375</v>
      </c>
      <c r="F27" s="95" t="s">
        <v>375</v>
      </c>
      <c r="G27" s="95" t="s">
        <v>375</v>
      </c>
      <c r="H27" s="95" t="s">
        <v>375</v>
      </c>
      <c r="I27" s="95" t="s">
        <v>375</v>
      </c>
      <c r="J27" s="95" t="s">
        <v>375</v>
      </c>
      <c r="K27" s="95" t="s">
        <v>375</v>
      </c>
      <c r="L27" s="95" t="s">
        <v>375</v>
      </c>
      <c r="M27" s="95" t="s">
        <v>375</v>
      </c>
      <c r="N27" s="95" t="s">
        <v>375</v>
      </c>
      <c r="O27" s="95" t="s">
        <v>375</v>
      </c>
      <c r="P27" s="95" t="s">
        <v>375</v>
      </c>
      <c r="Q27" s="95" t="s">
        <v>375</v>
      </c>
      <c r="R27" s="95" t="s">
        <v>375</v>
      </c>
      <c r="S27" s="95" t="s">
        <v>375</v>
      </c>
      <c r="T27" s="95" t="s">
        <v>375</v>
      </c>
      <c r="U27" s="95" t="s">
        <v>375</v>
      </c>
      <c r="V27" s="95" t="s">
        <v>375</v>
      </c>
      <c r="W27" s="95" t="s">
        <v>375</v>
      </c>
      <c r="X27" s="95" t="s">
        <v>375</v>
      </c>
      <c r="Y27" s="95" t="s">
        <v>375</v>
      </c>
    </row>
    <row r="28" ht="19.5" customHeight="1">
      <c r="B28" s="96"/>
      <c r="C28" s="97" t="s">
        <v>376</v>
      </c>
      <c r="D28" s="98" t="s">
        <v>377</v>
      </c>
      <c r="E28" s="98" t="s">
        <v>377</v>
      </c>
      <c r="F28" s="98" t="s">
        <v>377</v>
      </c>
      <c r="G28" s="98" t="s">
        <v>377</v>
      </c>
      <c r="H28" s="98" t="s">
        <v>377</v>
      </c>
      <c r="I28" s="98" t="s">
        <v>377</v>
      </c>
      <c r="J28" s="98" t="s">
        <v>377</v>
      </c>
      <c r="K28" s="98" t="s">
        <v>377</v>
      </c>
      <c r="L28" s="98" t="s">
        <v>377</v>
      </c>
      <c r="M28" s="98" t="s">
        <v>377</v>
      </c>
      <c r="N28" s="98" t="s">
        <v>377</v>
      </c>
      <c r="O28" s="98" t="s">
        <v>377</v>
      </c>
      <c r="P28" s="98" t="s">
        <v>377</v>
      </c>
      <c r="Q28" s="98" t="s">
        <v>377</v>
      </c>
      <c r="R28" s="98" t="s">
        <v>377</v>
      </c>
      <c r="S28" s="98" t="s">
        <v>377</v>
      </c>
      <c r="T28" s="98" t="s">
        <v>377</v>
      </c>
      <c r="U28" s="98" t="s">
        <v>377</v>
      </c>
      <c r="V28" s="98" t="s">
        <v>377</v>
      </c>
      <c r="W28" s="98" t="s">
        <v>377</v>
      </c>
      <c r="X28" s="98" t="s">
        <v>377</v>
      </c>
      <c r="Y28" s="98" t="s">
        <v>377</v>
      </c>
    </row>
    <row r="29" ht="3.75" customHeight="1">
      <c r="B29" s="99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4:B16"/>
    <mergeCell ref="B18:B20"/>
    <mergeCell ref="B22:B24"/>
    <mergeCell ref="B26:B28"/>
    <mergeCell ref="B21:Y21"/>
    <mergeCell ref="B25:Y25"/>
    <mergeCell ref="B29:Y29"/>
    <mergeCell ref="B2:Y2"/>
    <mergeCell ref="B3:Y3"/>
    <mergeCell ref="B6:B8"/>
    <mergeCell ref="B9:Y9"/>
    <mergeCell ref="B10:B12"/>
    <mergeCell ref="B13:Y13"/>
    <mergeCell ref="B17:Y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2026-05-23T06:13:31Z</dcterms:created>
  <dc:creator>openpyxl</dc:creator>
</cp:coreProperties>
</file>